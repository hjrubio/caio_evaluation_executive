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Supuestos" sheetId="2" state="visible" r:id="rId4"/>
    <sheet name="Línea base" sheetId="3" state="visible" r:id="rId5"/>
    <sheet name="Beneficios" sheetId="4" state="visible" r:id="rId6"/>
    <sheet name="Inversión" sheetId="5" state="visible" r:id="rId7"/>
    <sheet name="Flujo y ROI" sheetId="6" state="visible" r:id="rId8"/>
    <sheet name="Proyección 5 años" sheetId="7" state="visible" r:id="rId9"/>
    <sheet name="Escenarios" sheetId="8" state="visible" r:id="rId10"/>
    <sheet name="Sensibilidad" sheetId="9" state="visible" r:id="rId11"/>
    <sheet name="KPI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<sst xmlns="http://schemas.openxmlformats.org/spreadsheetml/2006/main" count="546" uniqueCount="412">
  <si>
    <t xml:space="preserve">Modelo financiero – FieldOps IA (Austral Conecta S.A., empresa ficticia)</t>
  </si>
  <si>
    <t xml:space="preserve">Plan Maestro CAIO a 12 meses · Versión alineada a los Anexos A–I (fuente mandatoria de cifras) · 24/10/2026</t>
  </si>
  <si>
    <t xml:space="preserve">Propósito</t>
  </si>
  <si>
    <t xml:space="preserve">Sustentar el caso de negocio de la presentación al board (slides 1, 3, 4, 5, 8, 9 y 10) y el anexo B. Todas las cifras coinciden con los Anexos A–I.</t>
  </si>
  <si>
    <t xml:space="preserve">Moneda</t>
  </si>
  <si>
    <t xml:space="preserve">USD constantes. Montos en USD millones (USD M) salvo que el encabezado diga otra cosa. Flujos antes de impuestos salvo aclaración.</t>
  </si>
  <si>
    <t xml:space="preserve">Premisa de personas</t>
  </si>
  <si>
    <t xml:space="preserve">Sin despidos de planta propia: los 400 técnicos propios mantienen 7 visitas por día. Todo el ahorro cae en el volumen facturado por terceros (contratistas de campo).</t>
  </si>
  <si>
    <t xml:space="preserve">Hojas</t>
  </si>
  <si>
    <t xml:space="preserve">Supuestos</t>
  </si>
  <si>
    <t xml:space="preserve">Todos los datos de entrada, con su origen. Es la única hoja que se edita.</t>
  </si>
  <si>
    <t xml:space="preserve">Línea base</t>
  </si>
  <si>
    <t xml:space="preserve">Dotación, visitas, costo de campo, pérdida actual (USD 25,6 M/año), métrica norte y RPU de partida.</t>
  </si>
  <si>
    <t xml:space="preserve">Beneficios</t>
  </si>
  <si>
    <t xml:space="preserve">Las 5 palancas a régimen separadas en ahorro e ingreso, puente bruto → neto y beneficio bruto planificado por trimestre.</t>
  </si>
  <si>
    <t xml:space="preserve">Inversión</t>
  </si>
  <si>
    <t xml:space="preserve">Inversión 2027 por trimestre, componente, contingencia y tramo; opex de la IA por trimestre.</t>
  </si>
  <si>
    <t xml:space="preserve">Flujo y ROI</t>
  </si>
  <si>
    <t xml:space="preserve">Estimación trimestral incremental contra la línea base: visitas y técnicos de terceros, factura de terceros, ahorro, ingreso, flujo, ROI acumulado y payback.</t>
  </si>
  <si>
    <t xml:space="preserve">Proyección 5 años</t>
  </si>
  <si>
    <t xml:space="preserve">Flujos 2027–2031, VAN y TIR antes y después de impuestos (flujos trimestrales descontados a mitad de período).</t>
  </si>
  <si>
    <t xml:space="preserve">Escenarios</t>
  </si>
  <si>
    <t xml:space="preserve">Pesimista, base y optimista con probabilidad, VAN, TIR, payback, gatillos y decisiones; costo de esperar.</t>
  </si>
  <si>
    <t xml:space="preserve">Sensibilidad</t>
  </si>
  <si>
    <t xml:space="preserve">Impacto de los supuestos clave sobre neto a régimen, neto a 24 meses y VAN.</t>
  </si>
  <si>
    <t xml:space="preserve">KPIs</t>
  </si>
  <si>
    <t xml:space="preserve">Métrica norte, guardas y KPIs operativos: línea base vs. meta a régimen; gate de Q2.</t>
  </si>
  <si>
    <t xml:space="preserve">Convención de colores</t>
  </si>
  <si>
    <t xml:space="preserve">Texto azul = dato de entrada editable · Texto negro = fórmula · Texto verde = vínculo a otra hoja · Fondo amarillo = supuesto clave.</t>
  </si>
  <si>
    <t xml:space="preserve">Horizonte</t>
  </si>
  <si>
    <t xml:space="preserve">Q1–Q4 2027 = plan de 12 meses. 2028 = primer año a régimen. 2029–2031 = proyección para VAN y TIR.</t>
  </si>
  <si>
    <t xml:space="preserve">Supuestos del modelo</t>
  </si>
  <si>
    <t xml:space="preserve">Única hoja de entrada. Texto azul = editable; amarillo = supuesto clave.</t>
  </si>
  <si>
    <t xml:space="preserve">Supuesto</t>
  </si>
  <si>
    <t xml:space="preserve">Valor</t>
  </si>
  <si>
    <t xml:space="preserve">Unidad</t>
  </si>
  <si>
    <t xml:space="preserve">Origen</t>
  </si>
  <si>
    <t xml:space="preserve">Comentario</t>
  </si>
  <si>
    <t xml:space="preserve">1. Dotación y operación de campo</t>
  </si>
  <si>
    <t xml:space="preserve">Técnicos totales</t>
  </si>
  <si>
    <t xml:space="preserve">técnicos</t>
  </si>
  <si>
    <t xml:space="preserve">Definición del caso</t>
  </si>
  <si>
    <t xml:space="preserve">Técnicos que hacen visitas a domicilio</t>
  </si>
  <si>
    <t xml:space="preserve">Anexo B</t>
  </si>
  <si>
    <t xml:space="preserve">El resto (500) hace red, mantenimiento y supervisión; de ahí salen los curadores.</t>
  </si>
  <si>
    <t xml:space="preserve">Técnicos de domicilio de planta propia</t>
  </si>
  <si>
    <t xml:space="preserve">Capacidad fija: no se reduce (sin despidos).</t>
  </si>
  <si>
    <t xml:space="preserve">Técnicos de domicilio de terceros (contratistas)</t>
  </si>
  <si>
    <t xml:space="preserve">Fórmula</t>
  </si>
  <si>
    <t xml:space="preserve">Volumen variable: acá cae todo el ahorro.</t>
  </si>
  <si>
    <t xml:space="preserve">Visitas por técnico y día (tope país)</t>
  </si>
  <si>
    <t xml:space="preserve">visitas/día</t>
  </si>
  <si>
    <t xml:space="preserve">Dato de la operación.</t>
  </si>
  <si>
    <t xml:space="preserve">Días hábiles por año</t>
  </si>
  <si>
    <t xml:space="preserve">días</t>
  </si>
  <si>
    <t xml:space="preserve">Visitas anuales (base 2026)</t>
  </si>
  <si>
    <t xml:space="preserve">visitas</t>
  </si>
  <si>
    <t xml:space="preserve">≈ 1.000 técnicos × 7 × 255 = 1,785 M; se usa el registro del FSM.</t>
  </si>
  <si>
    <t xml:space="preserve">Órdenes resueltas por año (base 2026)</t>
  </si>
  <si>
    <t xml:space="preserve">órdenes</t>
  </si>
  <si>
    <t xml:space="preserve">148 visitas cada 100 órdenes resueltas.</t>
  </si>
  <si>
    <t xml:space="preserve">Costo de campo anual (base 2026)</t>
  </si>
  <si>
    <t xml:space="preserve">USD M</t>
  </si>
  <si>
    <t xml:space="preserve">Propio + terceros.</t>
  </si>
  <si>
    <t xml:space="preserve">Costo por visita (propia o tercerizada)</t>
  </si>
  <si>
    <t xml:space="preserve">USD/visita</t>
  </si>
  <si>
    <t xml:space="preserve">Tarifa del contratista; costo evitable de cada visita que no se hace.</t>
  </si>
  <si>
    <t xml:space="preserve">Costo por caso resuelto a distancia</t>
  </si>
  <si>
    <t xml:space="preserve">USD/caso</t>
  </si>
  <si>
    <t xml:space="preserve">IA conversacional, consultas a la red y supervisión.</t>
  </si>
  <si>
    <t xml:space="preserve">Abonados</t>
  </si>
  <si>
    <t xml:space="preserve">millones</t>
  </si>
  <si>
    <t xml:space="preserve">ARPU mensual</t>
  </si>
  <si>
    <t xml:space="preserve">USD/mes</t>
  </si>
  <si>
    <t xml:space="preserve">Una reparación que falla a la primera cuesta USD 59 = 2,7 meses de ARPU.</t>
  </si>
  <si>
    <t xml:space="preserve">Costo de una reparación que falla a la primera</t>
  </si>
  <si>
    <t xml:space="preserve">USD</t>
  </si>
  <si>
    <t xml:space="preserve">Revisita + contactos adicionales + bonificación.</t>
  </si>
  <si>
    <t xml:space="preserve">2. Pérdida actual (diagnóstico)</t>
  </si>
  <si>
    <t xml:space="preserve">Revisitas de reparación (falla a la primera)</t>
  </si>
  <si>
    <t xml:space="preserve">visitas/año</t>
  </si>
  <si>
    <t xml:space="preserve">Revisitas de instalación (mal hechas)</t>
  </si>
  <si>
    <t xml:space="preserve">Visitas que se podían resolver a distancia</t>
  </si>
  <si>
    <t xml:space="preserve">Muestra de cierres: reinicios, configuración, fallas de red conocidas.</t>
  </si>
  <si>
    <t xml:space="preserve">Visitas fallidas (cliente ausente o sin acceso)</t>
  </si>
  <si>
    <t xml:space="preserve">8,1% de las visitas.</t>
  </si>
  <si>
    <t xml:space="preserve">Bonificaciones por fallas repetidas</t>
  </si>
  <si>
    <t xml:space="preserve">USD M/año</t>
  </si>
  <si>
    <t xml:space="preserve">Ingreso resignado.</t>
  </si>
  <si>
    <t xml:space="preserve">3. Palancas a régimen (escenario base, ya neto del grupo de control)</t>
  </si>
  <si>
    <t xml:space="preserve">Triage: % de reclamos de reparación que atiende</t>
  </si>
  <si>
    <t xml:space="preserve">%</t>
  </si>
  <si>
    <t xml:space="preserve">Triage: % de los atendidos que resuelve sin visita</t>
  </si>
  <si>
    <t xml:space="preserve">Es también la condición de volumen del gate de Q2.</t>
  </si>
  <si>
    <t xml:space="preserve">Órdenes resueltas sin visita</t>
  </si>
  <si>
    <t xml:space="preserve">% órdenes</t>
  </si>
  <si>
    <t xml:space="preserve">Contención: 50% × 20% = 10%.</t>
  </si>
  <si>
    <t xml:space="preserve">Visitas fallidas: línea base (redondeo)</t>
  </si>
  <si>
    <t xml:space="preserve">% visitas</t>
  </si>
  <si>
    <t xml:space="preserve">Visitas fallidas: meta</t>
  </si>
  <si>
    <t xml:space="preserve">Ventana de 20 min y aviso proactivo.</t>
  </si>
  <si>
    <t xml:space="preserve">First-time fix: línea base</t>
  </si>
  <si>
    <t xml:space="preserve">First-time fix: meta</t>
  </si>
  <si>
    <t xml:space="preserve">Briefing + copiloto + foto.</t>
  </si>
  <si>
    <t xml:space="preserve">Revisitas de reparación evitadas (75% → 82%)</t>
  </si>
  <si>
    <t xml:space="preserve">Reducción de revisitas de instalación</t>
  </si>
  <si>
    <t xml:space="preserve">Control de calidad por foto.</t>
  </si>
  <si>
    <t xml:space="preserve">Reducción de bonificaciones</t>
  </si>
  <si>
    <t xml:space="preserve">Menos fallas repetidas.</t>
  </si>
  <si>
    <t xml:space="preserve">Grupo de control permanente</t>
  </si>
  <si>
    <t xml:space="preserve">% reclamos</t>
  </si>
  <si>
    <t xml:space="preserve">Anexo E</t>
  </si>
  <si>
    <t xml:space="preserve">Ya descontado de los beneficios.</t>
  </si>
  <si>
    <t xml:space="preserve">4. Opex recurrente de la IA a régimen (2028)</t>
  </si>
  <si>
    <t xml:space="preserve">Consumo de modelos</t>
  </si>
  <si>
    <t xml:space="preserve">Nube y plataforma</t>
  </si>
  <si>
    <t xml:space="preserve">Operación de modelos (MLOps)</t>
  </si>
  <si>
    <t xml:space="preserve">5. Proyección y evaluación financiera</t>
  </si>
  <si>
    <t xml:space="preserve">Tasa de descuento (WACC en USD)</t>
  </si>
  <si>
    <t xml:space="preserve">% anual</t>
  </si>
  <si>
    <t xml:space="preserve">Incluye riesgo país.</t>
  </si>
  <si>
    <t xml:space="preserve">Crecimiento anual del beneficio bruto desde 2029</t>
  </si>
  <si>
    <t xml:space="preserve">Crece con la base de abonados.</t>
  </si>
  <si>
    <t xml:space="preserve">Impuesto a las ganancias</t>
  </si>
  <si>
    <t xml:space="preserve">Años de amortización de la inversión</t>
  </si>
  <si>
    <t xml:space="preserve">años</t>
  </si>
  <si>
    <t xml:space="preserve">Opex de la IA 2029</t>
  </si>
  <si>
    <t xml:space="preserve">Opex de la IA 2030</t>
  </si>
  <si>
    <t xml:space="preserve">Opex de la IA 2031</t>
  </si>
  <si>
    <t xml:space="preserve">Reinversión 2029 (modelos y equipos)</t>
  </si>
  <si>
    <t xml:space="preserve">Reinversión 2030</t>
  </si>
  <si>
    <t xml:space="preserve">Reinversión 2031</t>
  </si>
  <si>
    <t xml:space="preserve">6. Escenarios</t>
  </si>
  <si>
    <t xml:space="preserve">Pesimista: probabilidad</t>
  </si>
  <si>
    <t xml:space="preserve">Anexo H</t>
  </si>
  <si>
    <t xml:space="preserve">Pesimista: factor de beneficio</t>
  </si>
  <si>
    <t xml:space="preserve">x</t>
  </si>
  <si>
    <t xml:space="preserve">Mitad del beneficio bruto.</t>
  </si>
  <si>
    <t xml:space="preserve">Pesimista: factor de costo (inversión, opex, reinversión)</t>
  </si>
  <si>
    <t xml:space="preserve">+20%.</t>
  </si>
  <si>
    <t xml:space="preserve">Base: probabilidad</t>
  </si>
  <si>
    <t xml:space="preserve">Optimista: probabilidad</t>
  </si>
  <si>
    <t xml:space="preserve">Optimista: factor de beneficio</t>
  </si>
  <si>
    <t xml:space="preserve">+30%.</t>
  </si>
  <si>
    <t xml:space="preserve">Optimista: factor de costo</t>
  </si>
  <si>
    <t xml:space="preserve">Control: probabilidades suman 100%</t>
  </si>
  <si>
    <t xml:space="preserve">Línea base: operación actual (2026, antes de la IA)</t>
  </si>
  <si>
    <t xml:space="preserve">Indicador</t>
  </si>
  <si>
    <t xml:space="preserve">Cálculo</t>
  </si>
  <si>
    <t xml:space="preserve">Dotación y visitas</t>
  </si>
  <si>
    <t xml:space="preserve">Técnicos propios de domicilio</t>
  </si>
  <si>
    <t xml:space="preserve">Técnicos de terceros de domicilio</t>
  </si>
  <si>
    <t xml:space="preserve">Visitas por año de planta propia</t>
  </si>
  <si>
    <t xml:space="preserve">400 × 7 × 255</t>
  </si>
  <si>
    <t xml:space="preserve">Visitas por año de terceros</t>
  </si>
  <si>
    <t xml:space="preserve">Visitas totales − propias</t>
  </si>
  <si>
    <t xml:space="preserve">Participación de terceros en las visitas</t>
  </si>
  <si>
    <t xml:space="preserve">Factura anual de terceros (USD M)</t>
  </si>
  <si>
    <t xml:space="preserve">Visitas de terceros × USD 32</t>
  </si>
  <si>
    <t xml:space="preserve">Visitas cada 100 órdenes resueltas</t>
  </si>
  <si>
    <t xml:space="preserve">Órdenes resueltas por técnico y día</t>
  </si>
  <si>
    <t xml:space="preserve">Pérdida actual (USD M/año)</t>
  </si>
  <si>
    <t xml:space="preserve">Revisitas (reparación + instalación)</t>
  </si>
  <si>
    <t xml:space="preserve">434.000 × USD 32</t>
  </si>
  <si>
    <t xml:space="preserve">Visitas evitables (resolubles a distancia)</t>
  </si>
  <si>
    <t xml:space="preserve">181.000 × USD 32</t>
  </si>
  <si>
    <t xml:space="preserve">Visitas fallidas</t>
  </si>
  <si>
    <t xml:space="preserve">144.700 × USD 32</t>
  </si>
  <si>
    <t xml:space="preserve">Pérdida total anual</t>
  </si>
  <si>
    <t xml:space="preserve">Pérdida mensual</t>
  </si>
  <si>
    <t xml:space="preserve">Pérdida como % del costo de campo</t>
  </si>
  <si>
    <t xml:space="preserve">Revisitas totales por año</t>
  </si>
  <si>
    <t xml:space="preserve">Costo de las revisitas como % del costo de campo</t>
  </si>
  <si>
    <t xml:space="preserve">Métrica norte y valor por abonado</t>
  </si>
  <si>
    <t xml:space="preserve">MÉTRICA NORTE: costo de campo por orden resuelta (USD)</t>
  </si>
  <si>
    <t xml:space="preserve">Costo de campo / órdenes resueltas</t>
  </si>
  <si>
    <t xml:space="preserve">Costo de campo por abonado (USD/mes)</t>
  </si>
  <si>
    <t xml:space="preserve">Bonificaciones por abonado (USD/mes)</t>
  </si>
  <si>
    <t xml:space="preserve">RPU neto de campo (USD/abonado/mes)</t>
  </si>
  <si>
    <t xml:space="preserve">ARPU − costo de campo − bonificaciones</t>
  </si>
  <si>
    <t xml:space="preserve">Meses de ARPU que se come una reparación fallida</t>
  </si>
  <si>
    <t xml:space="preserve">Beneficios a régimen por palanca (USD M/año) y beneficio planificado por trimestre</t>
  </si>
  <si>
    <t xml:space="preserve">Cifras netas del grupo de control del 10%.</t>
  </si>
  <si>
    <t xml:space="preserve">Palanca</t>
  </si>
  <si>
    <t xml:space="preserve">Tipo</t>
  </si>
  <si>
    <t xml:space="preserve">Visitas liberadas/año</t>
  </si>
  <si>
    <t xml:space="preserve">1 · Evitar la visita (triage remoto)</t>
  </si>
  <si>
    <t xml:space="preserve">Ahorro</t>
  </si>
  <si>
    <t xml:space="preserve">10% de las órdenes × (USD 32 − USD 2,5 de resolución remota)</t>
  </si>
  <si>
    <t xml:space="preserve">2 · Despachar bien (visitas fallidas 8% → 5%)</t>
  </si>
  <si>
    <t xml:space="preserve">3 pp × 1,78 M visitas × USD 32</t>
  </si>
  <si>
    <t xml:space="preserve">3 · Llegar preparado y resolver a la primera (FTF 75% → 82%)</t>
  </si>
  <si>
    <t xml:space="preserve">Revisitas de reparación evitadas × USD 32</t>
  </si>
  <si>
    <t xml:space="preserve">4 · Cerrar y aprender (control de calidad por foto)</t>
  </si>
  <si>
    <t xml:space="preserve">Revisitas de instalación −25% × USD 32</t>
  </si>
  <si>
    <t xml:space="preserve">5 · Menos fallas repetidas (bonificaciones evitadas)</t>
  </si>
  <si>
    <t xml:space="preserve">Ingreso</t>
  </si>
  <si>
    <t xml:space="preserve">USD 1,3 M × 28%</t>
  </si>
  <si>
    <t xml:space="preserve">Ahorro en costo de campo (palancas 1 a 4)</t>
  </si>
  <si>
    <t xml:space="preserve">Ingreso (palanca 5)</t>
  </si>
  <si>
    <t xml:space="preserve">Beneficio bruto a régimen</t>
  </si>
  <si>
    <t xml:space="preserve">Opex recurrente de la IA</t>
  </si>
  <si>
    <t xml:space="preserve">Beneficio neto a régimen</t>
  </si>
  <si>
    <t xml:space="preserve">Ahorro como % del costo de campo</t>
  </si>
  <si>
    <t xml:space="preserve">Captura bruta de la pérdida actual</t>
  </si>
  <si>
    <t xml:space="preserve">Captura neta de la pérdida actual</t>
  </si>
  <si>
    <t xml:space="preserve">Métrica norte a régimen (USD por orden resuelta)</t>
  </si>
  <si>
    <t xml:space="preserve">Variación de la métrica norte</t>
  </si>
  <si>
    <t xml:space="preserve">RPU neto de campo a régimen (USD/abonado/mes)</t>
  </si>
  <si>
    <t xml:space="preserve">Técnicos de terceros equivalentes liberados</t>
  </si>
  <si>
    <t xml:space="preserve">Reducción de la factura de terceros</t>
  </si>
  <si>
    <t xml:space="preserve">Nota: la baja del papeleo (60 → 35 min/día) no se cuenta como beneficio: es tiempo, no factura.</t>
  </si>
  <si>
    <t xml:space="preserve">Beneficio bruto planificado por trimestre (USD M) · dato de entrada del roadmap (anexo G)</t>
  </si>
  <si>
    <t xml:space="preserve">Concepto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</si>
  <si>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</si>
  <si>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</si>
  <si>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</si>
  <si>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</si>
  <si>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</si>
  <si>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</si>
  <si>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</si>
  <si>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</si>
  <si>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Beneficio bruto del trimestre</t>
  </si>
  <si>
    <t xml:space="preserve">Rampa: % del régimen trimestral</t>
  </si>
  <si>
    <t xml:space="preserve">Rampa: Q1 aviso proactivo; Q2 triage en producción; Q3 copiloto y foto en todas las zonas; Q4 despacho en toda la operación.</t>
  </si>
  <si>
    <t xml:space="preserve">Inversión 2027 por trimestre y tramo, y opex de la IA (USD M)</t>
  </si>
  <si>
    <t xml:space="preserve">Componente</t>
  </si>
  <si>
    <t xml:space="preserve">Total</t>
  </si>
  <si>
    <t xml:space="preserve">Datos e integración</t>
  </si>
  <si>
    <t xml:space="preserve">Aviso proactivo</t>
  </si>
  <si>
    <t xml:space="preserve">Triage remoto</t>
  </si>
  <si>
    <t xml:space="preserve">Copiloto y visión por foto</t>
  </si>
  <si>
    <t xml:space="preserve">Despacho inteligente y ruteo</t>
  </si>
  <si>
    <t xml:space="preserve">Copiloto en todas las zonas</t>
  </si>
  <si>
    <t xml:space="preserve">Datos y triage (escalado)</t>
  </si>
  <si>
    <t xml:space="preserve">Cierre de componentes</t>
  </si>
  <si>
    <t xml:space="preserve">Gobierno, equipo, dictado, capacitación y cambio</t>
  </si>
  <si>
    <t xml:space="preserve">Subtotal componentes</t>
  </si>
  <si>
    <t xml:space="preserve">Contingencia asignada (≈15%)</t>
  </si>
  <si>
    <t xml:space="preserve">Inversión total del trimestre</t>
  </si>
  <si>
    <t xml:space="preserve">Contingencia / componentes</t>
  </si>
  <si>
    <t xml:space="preserve">Tramo</t>
  </si>
  <si>
    <t xml:space="preserve">Tramo 1</t>
  </si>
  <si>
    <t xml:space="preserve">Tramo 2</t>
  </si>
  <si>
    <t xml:space="preserve">Tramo 1 (Q1 + Q2): se aprueba hoy</t>
  </si>
  <si>
    <t xml:space="preserve">Tramo 2 (Q3 + Q4): atado al gate de Q2</t>
  </si>
  <si>
    <t xml:space="preserve">Inversión por tipo de gasto (USD M)</t>
  </si>
  <si>
    <t xml:space="preserve">Tecnología y plataforma</t>
  </si>
  <si>
    <t xml:space="preserve">Datos</t>
  </si>
  <si>
    <t xml:space="preserve">Talento y equipo</t>
  </si>
  <si>
    <t xml:space="preserve">Capacitación y cambio</t>
  </si>
  <si>
    <t xml:space="preserve">Total (control contra la inversión total)</t>
  </si>
  <si>
    <t xml:space="preserve">Opex recurrente de la IA por trimestre (USD M)</t>
  </si>
  <si>
    <t xml:space="preserve">Total 2027</t>
  </si>
  <si>
    <t xml:space="preserve">Opex de la IA (consumo de modelos, nube, MLOps)</t>
  </si>
  <si>
    <t xml:space="preserve">Lo no usado de la contingencia vuelve al CFO; la administra el comité de IA.</t>
  </si>
  <si>
    <t xml:space="preserve">Estimación trimestral incremental contra la línea base (congelada en dic-2026)</t>
  </si>
  <si>
    <t xml:space="preserve">Cada visita que la IA evita es una visita menos facturada por terceros. La planta propia mantiene 7 visitas por día.</t>
  </si>
  <si>
    <t xml:space="preserve">Línea base (Q)</t>
  </si>
  <si>
    <t xml:space="preserve">Total 24 meses</t>
  </si>
  <si>
    <t xml:space="preserve">Operativo</t>
  </si>
  <si>
    <t xml:space="preserve">Visitas liberadas</t>
  </si>
  <si>
    <t xml:space="preserve">Visitas totales</t>
  </si>
  <si>
    <t xml:space="preserve">Visitas de terceros</t>
  </si>
  <si>
    <t xml:space="preserve">Técnicos de terceros equivalentes</t>
  </si>
  <si>
    <t xml:space="preserve">Técnicos propios a 7 visitas/día (sin despidos)</t>
  </si>
  <si>
    <t xml:space="preserve">Financiero (USD M)</t>
  </si>
  <si>
    <t xml:space="preserve">Factura de terceros</t>
  </si>
  <si>
    <t xml:space="preserve">Beneficio bruto incremental</t>
  </si>
  <si>
    <t xml:space="preserve">  de lo cual ingreso: bonificaciones evitadas</t>
  </si>
  <si>
    <t xml:space="preserve">  de lo cual ahorro neto en costo de campo</t>
  </si>
  <si>
    <t xml:space="preserve">Opex de la IA</t>
  </si>
  <si>
    <t xml:space="preserve">Beneficio neto incremental</t>
  </si>
  <si>
    <t xml:space="preserve">Flujo del trimestre</t>
  </si>
  <si>
    <t xml:space="preserve">Flujo acumulado</t>
  </si>
  <si>
    <t xml:space="preserve">ROI acumulado</t>
  </si>
  <si>
    <t xml:space="preserve">Métrica norte (USD por orden resuelta)</t>
  </si>
  <si>
    <t xml:space="preserve">Desde cuándo se ve el retorno</t>
  </si>
  <si>
    <t xml:space="preserve">Primer ahorro en la factura de terceros</t>
  </si>
  <si>
    <t xml:space="preserve">Primer ingreso (bonificaciones evitadas ≥ USD 0,01 M)</t>
  </si>
  <si>
    <t xml:space="preserve">Beneficio neto positivo (beneficio &gt; opex)</t>
  </si>
  <si>
    <t xml:space="preserve">Flujo trimestral positivo (beneficio &gt; inversión)</t>
  </si>
  <si>
    <t xml:space="preserve">Payback: flujo acumulado positivo</t>
  </si>
  <si>
    <t xml:space="preserve">ROI acumulado mayor a 100%</t>
  </si>
  <si>
    <t xml:space="preserve">Reducción de la factura de terceros a régimen</t>
  </si>
  <si>
    <t xml:space="preserve">Técnicos de terceros equivalentes liberados a régimen</t>
  </si>
  <si>
    <t xml:space="preserve">Cómo se mide (certifica Control de Gestión, bajo el CFO, antes de cada gate)</t>
  </si>
  <si>
    <t xml:space="preserve">1. Ahorro del trimestre = (visitas por orden de la línea base − visitas por orden del trimestre) × órdenes del trimestre × USD 32 − costo de resolución remota.</t>
  </si>
  <si>
    <t xml:space="preserve">2. Grupo de control del 10%: si el control también mejora, esa mejora se descuenta.</t>
  </si>
  <si>
    <t xml:space="preserve">3. Conciliación con la factura de terceros: una diferencia mayor al 10% se explica ante el comité.</t>
  </si>
  <si>
    <t xml:space="preserve">4. Ocupación de la planta propia: los 400 técnicos propios siguen en 7 visitas por día.</t>
  </si>
  <si>
    <t xml:space="preserve">5. ROI acumulado = (beneficio neto acumulado − inversión acumulada) / inversión acumulada.</t>
  </si>
  <si>
    <t xml:space="preserve">6. No se cuentan minutos de papeleo, NPS ni horas de técnicos propios: no generan caja.</t>
  </si>
  <si>
    <t xml:space="preserve">Proyección a 5 años, VAN y TIR (USD M)</t>
  </si>
  <si>
    <t xml:space="preserve">2027 sale del flujo trimestral. Desde 2029 el bruto crece 2% anual (redondeado a USD 10 mil).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</si>
  <si>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</si>
  <si>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</si>
  <si>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</si>
  <si>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</si>
  <si>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</si>
  <si>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Total 5 años</t>
  </si>
  <si>
    <t xml:space="preserve">Beneficio bruto</t>
  </si>
  <si>
    <t xml:space="preserve">Inversión única</t>
  </si>
  <si>
    <t xml:space="preserve">Reinversión (modelos y equipos)</t>
  </si>
  <si>
    <t xml:space="preserve">Flujo antes de impuestos</t>
  </si>
  <si>
    <t xml:space="preserve">Acumulado</t>
  </si>
  <si>
    <t xml:space="preserve">Impuestos (35%; inversión y reinversión amortizadas en 3 años)</t>
  </si>
  <si>
    <t xml:space="preserve">Beneficio operativo (bruto − opex)</t>
  </si>
  <si>
    <t xml:space="preserve">Amortización</t>
  </si>
  <si>
    <t xml:space="preserve">Base imponible</t>
  </si>
  <si>
    <t xml:space="preserve">Flujo después de impuestos</t>
  </si>
  <si>
    <t xml:space="preserve">Flujos trimestrales (base del VAN y la TIR; descuento a mitad de trimestre)</t>
  </si>
  <si>
    <t xml:space="preserve">Concepto trimestral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</si>
  <si>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</si>
  <si>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</si>
  <si>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</si>
  <si>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</si>
  <si>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</si>
  <si>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</si>
  <si>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</si>
  <si>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</si>
  <si>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</si>
  <si>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</si>
  <si>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</si>
  <si>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</si>
  <si>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Tiempo (años, mitad de trimestre)</t>
  </si>
  <si>
    <t xml:space="preserve">Inversión y reinversión</t>
  </si>
  <si>
    <t xml:space="preserve">Factor de descuento (WACC 16%)</t>
  </si>
  <si>
    <t xml:space="preserve">Factor de descuento (WACC 20%, sensibilidad)</t>
  </si>
  <si>
    <t xml:space="preserve">Pesimista: flujo antes de impuestos</t>
  </si>
  <si>
    <t xml:space="preserve">Optimista: flujo antes de impuestos</t>
  </si>
  <si>
    <t xml:space="preserve">Pesimista: acumulado</t>
  </si>
  <si>
    <t xml:space="preserve">Base: acumulado</t>
  </si>
  <si>
    <t xml:space="preserve">Optimista: acumulado</t>
  </si>
  <si>
    <t xml:space="preserve">Indicadores</t>
  </si>
  <si>
    <t xml:space="preserve">Antes de impuestos</t>
  </si>
  <si>
    <t xml:space="preserve">Después de impuestos</t>
  </si>
  <si>
    <t xml:space="preserve">VAN 5 años (WACC 16%, USD M)</t>
  </si>
  <si>
    <t xml:space="preserve">TIR anual</t>
  </si>
  <si>
    <t xml:space="preserve">Payback (primer trimestre con acumulado ≥ 0)</t>
  </si>
  <si>
    <t xml:space="preserve">Neto a 24 meses (USD M)</t>
  </si>
  <si>
    <t xml:space="preserve">Beneficio neto anual a régimen (USD M)</t>
  </si>
  <si>
    <t xml:space="preserve">Run-rate neto al salir de Q4 2027 (USD M/año)</t>
  </si>
  <si>
    <t xml:space="preserve">La TIR es alta porque USD 5,4 M atacan USD 57 M de gasto anual; el número a defender es el VAN.</t>
  </si>
  <si>
    <t xml:space="preserve">Escenarios: probabilidad, resultado, gatillo y decisión preacordada (USD M)</t>
  </si>
  <si>
    <t xml:space="preserve">El pesimista supone que se gasta todo; si el gate de Q2 frena el tramo 2, la exposición baja a USD 2,11 M.</t>
  </si>
  <si>
    <t xml:space="preserve">Pesimista</t>
  </si>
  <si>
    <t xml:space="preserve">Base</t>
  </si>
  <si>
    <t xml:space="preserve">Optimista</t>
  </si>
  <si>
    <t xml:space="preserve">Esperado (ponderado)</t>
  </si>
  <si>
    <t xml:space="preserve">Probabilidad</t>
  </si>
  <si>
    <t xml:space="preserve">Mitad del beneficio bruto; +20% en inversión y opex</t>
  </si>
  <si>
    <t xml:space="preserve">Plan del anexo B</t>
  </si>
  <si>
    <t xml:space="preserve">Beneficio bruto +30%</t>
  </si>
  <si>
    <t xml:space="preserve">Neto a régimen (USD M/año)</t>
  </si>
  <si>
    <t xml:space="preserve">Neto a 24 meses</t>
  </si>
  <si>
    <t xml:space="preserve">VAN 5 años (WACC 16%)</t>
  </si>
  <si>
    <t xml:space="preserve">Payback</t>
  </si>
  <si>
    <t xml:space="preserve">Gatillo cuantitativo</t>
  </si>
  <si>
    <t xml:space="preserve">En Q2: triage &lt; 20%, re-reclamo a distancia &gt; 1,1 × control, o sobrecosto &gt; 20%</t>
  </si>
  <si>
    <t xml:space="preserve">Indicadores dentro de ±15% de la rampa planificada</t>
  </si>
  <si>
    <t xml:space="preserve">En Q3: triage &gt; 50% de los casos que atiende y first-time fix ≥ 82%</t>
  </si>
  <si>
    <t xml:space="preserve">Decisión preacordada</t>
  </si>
  <si>
    <t xml:space="preserve">No liberar el tramo 2 completo; concentrar en triage y aviso proactivo; revisar en Q3</t>
  </si>
  <si>
    <t xml:space="preserve">Seguir el roadmap; sumar contratistas a la app en 2028</t>
  </si>
  <si>
    <t xml:space="preserve">Adelantar a Q4 2027 el piloto de mantenimiento predictivo y la predicción de repuestos</t>
  </si>
  <si>
    <t xml:space="preserve">Quién decide</t>
  </si>
  <si>
    <t xml:space="preserve">Comité de IA; aprueban CEO y CFO</t>
  </si>
  <si>
    <t xml:space="preserve">Comité de IA</t>
  </si>
  <si>
    <t xml:space="preserve">Comité de IA; aprueba el CEO</t>
  </si>
  <si>
    <t xml:space="preserve">Costo de esperar</t>
  </si>
  <si>
    <t xml:space="preserve">Beneficio esperado a régimen (USD M/año)</t>
  </si>
  <si>
    <t xml:space="preserve">Costo de cada mes de demora (USD M)</t>
  </si>
  <si>
    <t xml:space="preserve">Costo de un trimestre de demora (USD M, 0,7 × 3)</t>
  </si>
  <si>
    <t xml:space="preserve">Pérdida actual mientras no se decide (USD M/mes)</t>
  </si>
  <si>
    <t xml:space="preserve">Sensibilidad: neto a régimen, neto a 24 meses y VAN (USD M)</t>
  </si>
  <si>
    <t xml:space="preserve">Los cambios de beneficio son lineales: VAN = k × VP(beneficio) − VP(costos), con k = (bruto + Δ) / bruto.</t>
  </si>
  <si>
    <t xml:space="preserve">Si cambia…</t>
  </si>
  <si>
    <t xml:space="preserve">Δ beneficio bruto (USD M/año)</t>
  </si>
  <si>
    <t xml:space="preserve">Neto 24 meses</t>
  </si>
  <si>
    <t xml:space="preserve">VAN 5 años</t>
  </si>
  <si>
    <t xml:space="preserve">Caso base</t>
  </si>
  <si>
    <t xml:space="preserve">Triage resuelve 15% de las órdenes (no 10%)</t>
  </si>
  <si>
    <t xml:space="preserve">Triage resuelve 5% de las órdenes</t>
  </si>
  <si>
    <t xml:space="preserve">First-time fix llega a 78% (no 82%)</t>
  </si>
  <si>
    <t xml:space="preserve">Visitas fallidas bajan a 6% (no 5%)</t>
  </si>
  <si>
    <t xml:space="preserve">Costo por visita USD 28 (no 32)</t>
  </si>
  <si>
    <t xml:space="preserve">WACC 20%</t>
  </si>
  <si>
    <t xml:space="preserve">Inversión y reinversión +30%</t>
  </si>
  <si>
    <t xml:space="preserve">Las dos variables que mueven el caso son el first-time fix y el triage: por eso el gate de Q2 mide triage y adopción, y el gate de Q3, first-time fix.</t>
  </si>
  <si>
    <t xml:space="preserve">Métrica norte, KPIs y guardas: línea base vs. meta a régimen</t>
  </si>
  <si>
    <t xml:space="preserve">Meta a régimen</t>
  </si>
  <si>
    <t xml:space="preserve">Cómo se mide</t>
  </si>
  <si>
    <t xml:space="preserve">Costo de campo + opex IA / órdenes resueltas</t>
  </si>
  <si>
    <t xml:space="preserve">FSM</t>
  </si>
  <si>
    <t xml:space="preserve">Órdenes resueltas sin visita (contención del triage)</t>
  </si>
  <si>
    <t xml:space="preserve">Tratados vs. grupo de control</t>
  </si>
  <si>
    <t xml:space="preserve">First-time fix en reparaciones</t>
  </si>
  <si>
    <t xml:space="preserve">Sin revisita a 30 días</t>
  </si>
  <si>
    <t xml:space="preserve">Factura de terceros (USD M/año)</t>
  </si>
  <si>
    <t xml:space="preserve">Facturas de contratistas</t>
  </si>
  <si>
    <t xml:space="preserve">Visitas de terceros / (7 × 255)</t>
  </si>
  <si>
    <t xml:space="preserve">Técnicos propios (sin despidos)</t>
  </si>
  <si>
    <t xml:space="preserve">Ocupación: 7 visitas por día</t>
  </si>
  <si>
    <t xml:space="preserve">Tiempo administrativo por técnico (min/día)</t>
  </si>
  <si>
    <t xml:space="preserve">Guarda; no se cuenta como beneficio</t>
  </si>
  <si>
    <t xml:space="preserve">Gate de Q2: libera el tramo 2 solo si se cumplen las cinco condiciones (contra grupo de control)</t>
  </si>
  <si>
    <t xml:space="preserve">1. Volumen: el triage resuelve sin visita ≥ 20% de los reclamos que atiende.</t>
  </si>
  <si>
    <t xml:space="preserve">2. Calidad: re-reclamo a 7 días de los casos resueltos a distancia ≤ 1,1 × el de los casos con visita del control.</t>
  </si>
  <si>
    <t xml:space="preserve">3. Experiencia: NPS post-triage ≥ 90% del NPS post-visita del grupo de control.</t>
  </si>
  <si>
    <t xml:space="preserve">4. Adopción: uso del copiloto ≥ 60% de las órdenes elegibles en la zona piloto.</t>
  </si>
  <si>
    <t xml:space="preserve">5. Costo: tramo 1 sin sobrecosto mayor al 20%; cero incidentes de privacidad graves.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</si>
</sst>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;\(#,##0.0\);\-"/>
    <numFmt numFmtId="167" formatCode="\$#,##0.00;&quot;($&quot;#,##0.00\);\-"/>
    <numFmt numFmtId="168" formatCode="#,##0.00;\(#,##0.00\);\-"/>
    <numFmt numFmtId="169" formatCode="0%;\(0%\);\-"/>
    <numFmt numFmtId="170" formatCode="0.0%;\(0.0%\);\-"/>
    <numFmt numFmtId="171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/>
      <c r="B7" s="4"/>
    </row>
    <row r="8" customFormat="false" ht="15" hidden="false" customHeight="false" outlineLevel="0" collapsed="false">
      <c r="A8" s="3" t="s">
        <v>8</v>
      </c>
      <c r="B8" s="4"/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23.8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3" t="s">
        <v>27</v>
      </c>
      <c r="B19" s="4" t="s">
        <v>28</v>
      </c>
    </row>
    <row r="20" customFormat="false" ht="15" hidden="false" customHeight="false" outlineLevel="0" collapsed="false">
      <c r="A20" s="3" t="s">
        <v>29</v>
      </c>
      <c r="B20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3" customFormat="false" ht="15" hidden="false" customHeight="false" outlineLevel="0" collapsed="false">
      <c r="A3" s="5" t="s">
        <v>33</v>
      </c>
      <c r="B3" s="6" t="s">
        <v>34</v>
      </c>
      <c r="C3" s="6" t="s">
        <v>35</v>
      </c>
      <c r="D3" s="6" t="s">
        <v>36</v>
      </c>
      <c r="E3" s="6" t="s">
        <v>37</v>
      </c>
    </row>
    <row r="4" customFormat="false" ht="15" hidden="false" customHeight="false" outlineLevel="0" collapsed="false">
      <c r="A4" s="7" t="s">
        <v>38</v>
      </c>
      <c r="B4" s="8"/>
      <c r="C4" s="8"/>
      <c r="D4" s="8"/>
      <c r="E4" s="8"/>
    </row>
    <row r="5" customFormat="false" ht="15" hidden="false" customHeight="false" outlineLevel="0" collapsed="false">
      <c r="A5" s="9" t="s">
        <v>39</v>
      </c>
      <c r="B5" s="10" t="n">
        <v>1500</v>
      </c>
      <c r="C5" s="4" t="s">
        <v>40</v>
      </c>
      <c r="D5" s="4" t="s">
        <v>41</v>
      </c>
      <c r="E5" s="4"/>
    </row>
    <row r="6" customFormat="false" ht="15" hidden="false" customHeight="false" outlineLevel="0" collapsed="false">
      <c r="A6" s="9" t="s">
        <v>42</v>
      </c>
      <c r="B6" s="10" t="n">
        <v>1000</v>
      </c>
      <c r="C6" s="4" t="s">
        <v>40</v>
      </c>
      <c r="D6" s="4" t="s">
        <v>43</v>
      </c>
      <c r="E6" s="4" t="s">
        <v>44</v>
      </c>
    </row>
    <row r="7" customFormat="false" ht="15" hidden="false" customHeight="false" outlineLevel="0" collapsed="false">
      <c r="A7" s="9" t="s">
        <v>45</v>
      </c>
      <c r="B7" s="11" t="n">
        <v>400</v>
      </c>
      <c r="C7" s="4" t="s">
        <v>40</v>
      </c>
      <c r="D7" s="4" t="s">
        <v>43</v>
      </c>
      <c r="E7" s="4" t="s">
        <v>46</v>
      </c>
    </row>
    <row r="8" customFormat="false" ht="15" hidden="false" customHeight="false" outlineLevel="0" collapsed="false">
      <c r="A8" s="9" t="s">
        <v>47</v>
      </c>
      <c r="B8" s="12" t="n">
        <f aca="false">B6-B7</f>
        <v>600</v>
      </c>
      <c r="C8" s="4" t="s">
        <v>40</v>
      </c>
      <c r="D8" s="4" t="s">
        <v>48</v>
      </c>
      <c r="E8" s="4" t="s">
        <v>49</v>
      </c>
    </row>
    <row r="9" customFormat="false" ht="15" hidden="false" customHeight="false" outlineLevel="0" collapsed="false">
      <c r="A9" s="9" t="s">
        <v>50</v>
      </c>
      <c r="B9" s="11" t="n">
        <v>7</v>
      </c>
      <c r="C9" s="4" t="s">
        <v>51</v>
      </c>
      <c r="D9" s="4" t="s">
        <v>41</v>
      </c>
      <c r="E9" s="4" t="s">
        <v>52</v>
      </c>
    </row>
    <row r="10" customFormat="false" ht="15" hidden="false" customHeight="false" outlineLevel="0" collapsed="false">
      <c r="A10" s="9" t="s">
        <v>53</v>
      </c>
      <c r="B10" s="10" t="n">
        <v>255</v>
      </c>
      <c r="C10" s="4" t="s">
        <v>54</v>
      </c>
      <c r="D10" s="4" t="s">
        <v>43</v>
      </c>
      <c r="E10" s="4"/>
    </row>
    <row r="11" customFormat="false" ht="15" hidden="false" customHeight="false" outlineLevel="0" collapsed="false">
      <c r="A11" s="9" t="s">
        <v>55</v>
      </c>
      <c r="B11" s="11" t="n">
        <v>1784000</v>
      </c>
      <c r="C11" s="4" t="s">
        <v>56</v>
      </c>
      <c r="D11" s="4" t="s">
        <v>43</v>
      </c>
      <c r="E11" s="4" t="s">
        <v>57</v>
      </c>
    </row>
    <row r="12" customFormat="false" ht="15" hidden="false" customHeight="false" outlineLevel="0" collapsed="false">
      <c r="A12" s="9" t="s">
        <v>58</v>
      </c>
      <c r="B12" s="10" t="n">
        <v>1205600</v>
      </c>
      <c r="C12" s="4" t="s">
        <v>59</v>
      </c>
      <c r="D12" s="4" t="s">
        <v>43</v>
      </c>
      <c r="E12" s="4" t="s">
        <v>60</v>
      </c>
    </row>
    <row r="13" customFormat="false" ht="15" hidden="false" customHeight="false" outlineLevel="0" collapsed="false">
      <c r="A13" s="9" t="s">
        <v>61</v>
      </c>
      <c r="B13" s="13" t="n">
        <v>57</v>
      </c>
      <c r="C13" s="4" t="s">
        <v>62</v>
      </c>
      <c r="D13" s="4" t="s">
        <v>43</v>
      </c>
      <c r="E13" s="4" t="s">
        <v>63</v>
      </c>
    </row>
    <row r="14" customFormat="false" ht="15" hidden="false" customHeight="false" outlineLevel="0" collapsed="false">
      <c r="A14" s="9" t="s">
        <v>64</v>
      </c>
      <c r="B14" s="14" t="n">
        <v>32</v>
      </c>
      <c r="C14" s="4" t="s">
        <v>65</v>
      </c>
      <c r="D14" s="4" t="s">
        <v>43</v>
      </c>
      <c r="E14" s="4" t="s">
        <v>66</v>
      </c>
    </row>
    <row r="15" customFormat="false" ht="15" hidden="false" customHeight="false" outlineLevel="0" collapsed="false">
      <c r="A15" s="9" t="s">
        <v>67</v>
      </c>
      <c r="B15" s="15" t="n">
        <v>2.5</v>
      </c>
      <c r="C15" s="4" t="s">
        <v>68</v>
      </c>
      <c r="D15" s="4" t="s">
        <v>43</v>
      </c>
      <c r="E15" s="4" t="s">
        <v>69</v>
      </c>
    </row>
    <row r="16" customFormat="false" ht="15" hidden="false" customHeight="false" outlineLevel="0" collapsed="false">
      <c r="A16" s="9" t="s">
        <v>70</v>
      </c>
      <c r="B16" s="16" t="n">
        <v>1.6</v>
      </c>
      <c r="C16" s="4" t="s">
        <v>71</v>
      </c>
      <c r="D16" s="4" t="s">
        <v>41</v>
      </c>
      <c r="E16" s="4"/>
    </row>
    <row r="17" customFormat="false" ht="15" hidden="false" customHeight="false" outlineLevel="0" collapsed="false">
      <c r="A17" s="9" t="s">
        <v>72</v>
      </c>
      <c r="B17" s="15" t="n">
        <v>22</v>
      </c>
      <c r="C17" s="4" t="s">
        <v>73</v>
      </c>
      <c r="D17" s="4" t="s">
        <v>43</v>
      </c>
      <c r="E17" s="4" t="s">
        <v>74</v>
      </c>
    </row>
    <row r="18" customFormat="false" ht="15" hidden="false" customHeight="false" outlineLevel="0" collapsed="false">
      <c r="A18" s="9" t="s">
        <v>75</v>
      </c>
      <c r="B18" s="15" t="n">
        <v>59</v>
      </c>
      <c r="C18" s="4" t="s">
        <v>76</v>
      </c>
      <c r="D18" s="4" t="s">
        <v>43</v>
      </c>
      <c r="E18" s="4" t="s">
        <v>77</v>
      </c>
    </row>
    <row r="19" customFormat="false" ht="15" hidden="false" customHeight="false" outlineLevel="0" collapsed="false">
      <c r="A19" s="7" t="s">
        <v>78</v>
      </c>
      <c r="B19" s="8"/>
      <c r="C19" s="8"/>
      <c r="D19" s="8"/>
      <c r="E19" s="8"/>
    </row>
    <row r="20" customFormat="false" ht="15" hidden="false" customHeight="false" outlineLevel="0" collapsed="false">
      <c r="A20" s="9" t="s">
        <v>79</v>
      </c>
      <c r="B20" s="10" t="n">
        <v>337600</v>
      </c>
      <c r="C20" s="4" t="s">
        <v>80</v>
      </c>
      <c r="D20" s="4" t="s">
        <v>43</v>
      </c>
      <c r="E20" s="4"/>
    </row>
    <row r="21" customFormat="false" ht="15" hidden="false" customHeight="false" outlineLevel="0" collapsed="false">
      <c r="A21" s="9" t="s">
        <v>81</v>
      </c>
      <c r="B21" s="10" t="n">
        <v>96400</v>
      </c>
      <c r="C21" s="4" t="s">
        <v>80</v>
      </c>
      <c r="D21" s="4" t="s">
        <v>43</v>
      </c>
      <c r="E21" s="4"/>
    </row>
    <row r="22" customFormat="false" ht="15" hidden="false" customHeight="false" outlineLevel="0" collapsed="false">
      <c r="A22" s="9" t="s">
        <v>82</v>
      </c>
      <c r="B22" s="10" t="n">
        <v>181000</v>
      </c>
      <c r="C22" s="4" t="s">
        <v>80</v>
      </c>
      <c r="D22" s="4" t="s">
        <v>43</v>
      </c>
      <c r="E22" s="4" t="s">
        <v>83</v>
      </c>
    </row>
    <row r="23" customFormat="false" ht="15" hidden="false" customHeight="false" outlineLevel="0" collapsed="false">
      <c r="A23" s="9" t="s">
        <v>84</v>
      </c>
      <c r="B23" s="10" t="n">
        <v>144700</v>
      </c>
      <c r="C23" s="4" t="s">
        <v>80</v>
      </c>
      <c r="D23" s="4" t="s">
        <v>43</v>
      </c>
      <c r="E23" s="4" t="s">
        <v>85</v>
      </c>
    </row>
    <row r="24" customFormat="false" ht="15" hidden="false" customHeight="false" outlineLevel="0" collapsed="false">
      <c r="A24" s="9" t="s">
        <v>86</v>
      </c>
      <c r="B24" s="17" t="n">
        <v>1.3</v>
      </c>
      <c r="C24" s="4" t="s">
        <v>87</v>
      </c>
      <c r="D24" s="4" t="s">
        <v>43</v>
      </c>
      <c r="E24" s="4" t="s">
        <v>88</v>
      </c>
    </row>
    <row r="25" customFormat="false" ht="15" hidden="false" customHeight="false" outlineLevel="0" collapsed="false">
      <c r="A25" s="7" t="s">
        <v>89</v>
      </c>
      <c r="B25" s="8"/>
      <c r="C25" s="8"/>
      <c r="D25" s="8"/>
      <c r="E25" s="8"/>
    </row>
    <row r="26" customFormat="false" ht="15" hidden="false" customHeight="false" outlineLevel="0" collapsed="false">
      <c r="A26" s="9" t="s">
        <v>90</v>
      </c>
      <c r="B26" s="18" t="n">
        <v>0.5</v>
      </c>
      <c r="C26" s="4" t="s">
        <v>91</v>
      </c>
      <c r="D26" s="4" t="s">
        <v>43</v>
      </c>
      <c r="E26" s="4"/>
    </row>
    <row r="27" customFormat="false" ht="15" hidden="false" customHeight="false" outlineLevel="0" collapsed="false">
      <c r="A27" s="9" t="s">
        <v>92</v>
      </c>
      <c r="B27" s="19" t="n">
        <v>0.2</v>
      </c>
      <c r="C27" s="4" t="s">
        <v>91</v>
      </c>
      <c r="D27" s="4" t="s">
        <v>43</v>
      </c>
      <c r="E27" s="4" t="s">
        <v>93</v>
      </c>
    </row>
    <row r="28" customFormat="false" ht="15" hidden="false" customHeight="false" outlineLevel="0" collapsed="false">
      <c r="A28" s="9" t="s">
        <v>94</v>
      </c>
      <c r="B28" s="20" t="n">
        <f aca="false">B26*B27</f>
        <v>0.1</v>
      </c>
      <c r="C28" s="4" t="s">
        <v>95</v>
      </c>
      <c r="D28" s="4" t="s">
        <v>48</v>
      </c>
      <c r="E28" s="4" t="s">
        <v>96</v>
      </c>
    </row>
    <row r="29" customFormat="false" ht="15" hidden="false" customHeight="false" outlineLevel="0" collapsed="false">
      <c r="A29" s="9" t="s">
        <v>97</v>
      </c>
      <c r="B29" s="18" t="n">
        <v>0.08</v>
      </c>
      <c r="C29" s="4" t="s">
        <v>98</v>
      </c>
      <c r="D29" s="4" t="s">
        <v>43</v>
      </c>
      <c r="E29" s="4"/>
    </row>
    <row r="30" customFormat="false" ht="15" hidden="false" customHeight="false" outlineLevel="0" collapsed="false">
      <c r="A30" s="9" t="s">
        <v>99</v>
      </c>
      <c r="B30" s="18" t="n">
        <v>0.05</v>
      </c>
      <c r="C30" s="4" t="s">
        <v>98</v>
      </c>
      <c r="D30" s="4" t="s">
        <v>43</v>
      </c>
      <c r="E30" s="4" t="s">
        <v>100</v>
      </c>
    </row>
    <row r="31" customFormat="false" ht="15" hidden="false" customHeight="false" outlineLevel="0" collapsed="false">
      <c r="A31" s="9" t="s">
        <v>101</v>
      </c>
      <c r="B31" s="18" t="n">
        <v>0.75</v>
      </c>
      <c r="C31" s="4" t="s">
        <v>91</v>
      </c>
      <c r="D31" s="4" t="s">
        <v>43</v>
      </c>
      <c r="E31" s="4"/>
    </row>
    <row r="32" customFormat="false" ht="15" hidden="false" customHeight="false" outlineLevel="0" collapsed="false">
      <c r="A32" s="9" t="s">
        <v>102</v>
      </c>
      <c r="B32" s="19" t="n">
        <v>0.82</v>
      </c>
      <c r="C32" s="4" t="s">
        <v>91</v>
      </c>
      <c r="D32" s="4" t="s">
        <v>43</v>
      </c>
      <c r="E32" s="4" t="s">
        <v>103</v>
      </c>
    </row>
    <row r="33" customFormat="false" ht="15" hidden="false" customHeight="false" outlineLevel="0" collapsed="false">
      <c r="A33" s="9" t="s">
        <v>104</v>
      </c>
      <c r="B33" s="10" t="n">
        <v>115000</v>
      </c>
      <c r="C33" s="4" t="s">
        <v>80</v>
      </c>
      <c r="D33" s="4" t="s">
        <v>43</v>
      </c>
      <c r="E33" s="4"/>
    </row>
    <row r="34" customFormat="false" ht="15" hidden="false" customHeight="false" outlineLevel="0" collapsed="false">
      <c r="A34" s="9" t="s">
        <v>105</v>
      </c>
      <c r="B34" s="18" t="n">
        <v>0.25</v>
      </c>
      <c r="C34" s="4" t="s">
        <v>91</v>
      </c>
      <c r="D34" s="4" t="s">
        <v>43</v>
      </c>
      <c r="E34" s="4" t="s">
        <v>106</v>
      </c>
    </row>
    <row r="35" customFormat="false" ht="15" hidden="false" customHeight="false" outlineLevel="0" collapsed="false">
      <c r="A35" s="9" t="s">
        <v>107</v>
      </c>
      <c r="B35" s="18" t="n">
        <v>0.28</v>
      </c>
      <c r="C35" s="4" t="s">
        <v>91</v>
      </c>
      <c r="D35" s="4" t="s">
        <v>43</v>
      </c>
      <c r="E35" s="4" t="s">
        <v>108</v>
      </c>
    </row>
    <row r="36" customFormat="false" ht="15" hidden="false" customHeight="false" outlineLevel="0" collapsed="false">
      <c r="A36" s="9" t="s">
        <v>109</v>
      </c>
      <c r="B36" s="18" t="n">
        <v>0.1</v>
      </c>
      <c r="C36" s="4" t="s">
        <v>110</v>
      </c>
      <c r="D36" s="4" t="s">
        <v>111</v>
      </c>
      <c r="E36" s="4" t="s">
        <v>112</v>
      </c>
    </row>
    <row r="37" customFormat="false" ht="15" hidden="false" customHeight="false" outlineLevel="0" collapsed="false">
      <c r="A37" s="7" t="s">
        <v>113</v>
      </c>
      <c r="B37" s="8"/>
      <c r="C37" s="8"/>
      <c r="D37" s="8"/>
      <c r="E37" s="8"/>
    </row>
    <row r="38" customFormat="false" ht="15" hidden="false" customHeight="false" outlineLevel="0" collapsed="false">
      <c r="A38" s="9" t="s">
        <v>114</v>
      </c>
      <c r="B38" s="17" t="n">
        <v>0.55</v>
      </c>
      <c r="C38" s="4" t="s">
        <v>87</v>
      </c>
      <c r="D38" s="4" t="s">
        <v>43</v>
      </c>
      <c r="E38" s="4"/>
    </row>
    <row r="39" customFormat="false" ht="15" hidden="false" customHeight="false" outlineLevel="0" collapsed="false">
      <c r="A39" s="9" t="s">
        <v>115</v>
      </c>
      <c r="B39" s="17" t="n">
        <v>0.35</v>
      </c>
      <c r="C39" s="4" t="s">
        <v>87</v>
      </c>
      <c r="D39" s="4" t="s">
        <v>43</v>
      </c>
      <c r="E39" s="4"/>
    </row>
    <row r="40" customFormat="false" ht="15" hidden="false" customHeight="false" outlineLevel="0" collapsed="false">
      <c r="A40" s="9" t="s">
        <v>116</v>
      </c>
      <c r="B40" s="17" t="n">
        <v>0.4</v>
      </c>
      <c r="C40" s="4" t="s">
        <v>87</v>
      </c>
      <c r="D40" s="4" t="s">
        <v>43</v>
      </c>
      <c r="E40" s="4"/>
    </row>
    <row r="41" customFormat="false" ht="15" hidden="false" customHeight="false" outlineLevel="0" collapsed="false">
      <c r="A41" s="7" t="s">
        <v>117</v>
      </c>
      <c r="B41" s="8"/>
      <c r="C41" s="8"/>
      <c r="D41" s="8"/>
      <c r="E41" s="8"/>
    </row>
    <row r="42" customFormat="false" ht="15" hidden="false" customHeight="false" outlineLevel="0" collapsed="false">
      <c r="A42" s="9" t="s">
        <v>118</v>
      </c>
      <c r="B42" s="19" t="n">
        <v>0.16</v>
      </c>
      <c r="C42" s="4" t="s">
        <v>119</v>
      </c>
      <c r="D42" s="4" t="s">
        <v>43</v>
      </c>
      <c r="E42" s="4" t="s">
        <v>120</v>
      </c>
    </row>
    <row r="43" customFormat="false" ht="15" hidden="false" customHeight="false" outlineLevel="0" collapsed="false">
      <c r="A43" s="9" t="s">
        <v>121</v>
      </c>
      <c r="B43" s="18" t="n">
        <v>0.02</v>
      </c>
      <c r="C43" s="4" t="s">
        <v>119</v>
      </c>
      <c r="D43" s="4" t="s">
        <v>43</v>
      </c>
      <c r="E43" s="4" t="s">
        <v>122</v>
      </c>
    </row>
    <row r="44" customFormat="false" ht="15" hidden="false" customHeight="false" outlineLevel="0" collapsed="false">
      <c r="A44" s="9" t="s">
        <v>123</v>
      </c>
      <c r="B44" s="18" t="n">
        <v>0.35</v>
      </c>
      <c r="C44" s="4" t="s">
        <v>91</v>
      </c>
      <c r="D44" s="4" t="s">
        <v>43</v>
      </c>
      <c r="E44" s="4"/>
    </row>
    <row r="45" customFormat="false" ht="15" hidden="false" customHeight="false" outlineLevel="0" collapsed="false">
      <c r="A45" s="9" t="s">
        <v>124</v>
      </c>
      <c r="B45" s="10" t="n">
        <v>3</v>
      </c>
      <c r="C45" s="4" t="s">
        <v>125</v>
      </c>
      <c r="D45" s="4" t="s">
        <v>43</v>
      </c>
      <c r="E45" s="4"/>
    </row>
    <row r="46" customFormat="false" ht="15" hidden="false" customHeight="false" outlineLevel="0" collapsed="false">
      <c r="A46" s="9" t="s">
        <v>126</v>
      </c>
      <c r="B46" s="17" t="n">
        <v>1.36</v>
      </c>
      <c r="C46" s="4" t="s">
        <v>62</v>
      </c>
      <c r="D46" s="4" t="s">
        <v>43</v>
      </c>
      <c r="E46" s="4"/>
    </row>
    <row r="47" customFormat="false" ht="15" hidden="false" customHeight="false" outlineLevel="0" collapsed="false">
      <c r="A47" s="9" t="s">
        <v>127</v>
      </c>
      <c r="B47" s="17" t="n">
        <v>1.37</v>
      </c>
      <c r="C47" s="4" t="s">
        <v>62</v>
      </c>
      <c r="D47" s="4" t="s">
        <v>43</v>
      </c>
      <c r="E47" s="4"/>
    </row>
    <row r="48" customFormat="false" ht="15" hidden="false" customHeight="false" outlineLevel="0" collapsed="false">
      <c r="A48" s="9" t="s">
        <v>128</v>
      </c>
      <c r="B48" s="17" t="n">
        <v>1.48</v>
      </c>
      <c r="C48" s="4" t="s">
        <v>62</v>
      </c>
      <c r="D48" s="4" t="s">
        <v>43</v>
      </c>
      <c r="E48" s="4"/>
    </row>
    <row r="49" customFormat="false" ht="15" hidden="false" customHeight="false" outlineLevel="0" collapsed="false">
      <c r="A49" s="9" t="s">
        <v>129</v>
      </c>
      <c r="B49" s="17" t="n">
        <v>0.3</v>
      </c>
      <c r="C49" s="4" t="s">
        <v>62</v>
      </c>
      <c r="D49" s="4" t="s">
        <v>43</v>
      </c>
      <c r="E49" s="4"/>
    </row>
    <row r="50" customFormat="false" ht="15" hidden="false" customHeight="false" outlineLevel="0" collapsed="false">
      <c r="A50" s="9" t="s">
        <v>130</v>
      </c>
      <c r="B50" s="17" t="n">
        <v>0.3</v>
      </c>
      <c r="C50" s="4" t="s">
        <v>62</v>
      </c>
      <c r="D50" s="4" t="s">
        <v>43</v>
      </c>
      <c r="E50" s="4"/>
    </row>
    <row r="51" customFormat="false" ht="15" hidden="false" customHeight="false" outlineLevel="0" collapsed="false">
      <c r="A51" s="9" t="s">
        <v>131</v>
      </c>
      <c r="B51" s="17" t="n">
        <v>0.1</v>
      </c>
      <c r="C51" s="4" t="s">
        <v>62</v>
      </c>
      <c r="D51" s="4" t="s">
        <v>43</v>
      </c>
      <c r="E51" s="4"/>
    </row>
    <row r="52" customFormat="false" ht="15" hidden="false" customHeight="false" outlineLevel="0" collapsed="false">
      <c r="A52" s="7" t="s">
        <v>132</v>
      </c>
      <c r="B52" s="8"/>
      <c r="C52" s="8"/>
      <c r="D52" s="8"/>
      <c r="E52" s="8"/>
    </row>
    <row r="53" customFormat="false" ht="15" hidden="false" customHeight="false" outlineLevel="0" collapsed="false">
      <c r="A53" s="9" t="s">
        <v>133</v>
      </c>
      <c r="B53" s="18" t="n">
        <v>0.25</v>
      </c>
      <c r="C53" s="4" t="s">
        <v>91</v>
      </c>
      <c r="D53" s="4" t="s">
        <v>134</v>
      </c>
      <c r="E53" s="4"/>
    </row>
    <row r="54" customFormat="false" ht="15" hidden="false" customHeight="false" outlineLevel="0" collapsed="false">
      <c r="A54" s="9" t="s">
        <v>135</v>
      </c>
      <c r="B54" s="17" t="n">
        <v>0.5</v>
      </c>
      <c r="C54" s="4" t="s">
        <v>136</v>
      </c>
      <c r="D54" s="4" t="s">
        <v>134</v>
      </c>
      <c r="E54" s="4" t="s">
        <v>137</v>
      </c>
    </row>
    <row r="55" customFormat="false" ht="15" hidden="false" customHeight="false" outlineLevel="0" collapsed="false">
      <c r="A55" s="9" t="s">
        <v>138</v>
      </c>
      <c r="B55" s="17" t="n">
        <v>1.2</v>
      </c>
      <c r="C55" s="4" t="s">
        <v>136</v>
      </c>
      <c r="D55" s="4" t="s">
        <v>134</v>
      </c>
      <c r="E55" s="4" t="s">
        <v>139</v>
      </c>
    </row>
    <row r="56" customFormat="false" ht="15" hidden="false" customHeight="false" outlineLevel="0" collapsed="false">
      <c r="A56" s="9" t="s">
        <v>140</v>
      </c>
      <c r="B56" s="18" t="n">
        <v>0.5</v>
      </c>
      <c r="C56" s="4" t="s">
        <v>91</v>
      </c>
      <c r="D56" s="4" t="s">
        <v>134</v>
      </c>
      <c r="E56" s="4"/>
    </row>
    <row r="57" customFormat="false" ht="15" hidden="false" customHeight="false" outlineLevel="0" collapsed="false">
      <c r="A57" s="9" t="s">
        <v>141</v>
      </c>
      <c r="B57" s="18" t="n">
        <v>0.25</v>
      </c>
      <c r="C57" s="4" t="s">
        <v>91</v>
      </c>
      <c r="D57" s="4" t="s">
        <v>134</v>
      </c>
      <c r="E57" s="4"/>
    </row>
    <row r="58" customFormat="false" ht="15" hidden="false" customHeight="false" outlineLevel="0" collapsed="false">
      <c r="A58" s="9" t="s">
        <v>142</v>
      </c>
      <c r="B58" s="17" t="n">
        <v>1.3</v>
      </c>
      <c r="C58" s="4" t="s">
        <v>136</v>
      </c>
      <c r="D58" s="4" t="s">
        <v>134</v>
      </c>
      <c r="E58" s="4" t="s">
        <v>143</v>
      </c>
    </row>
    <row r="59" customFormat="false" ht="15" hidden="false" customHeight="false" outlineLevel="0" collapsed="false">
      <c r="A59" s="9" t="s">
        <v>144</v>
      </c>
      <c r="B59" s="17" t="n">
        <v>1</v>
      </c>
      <c r="C59" s="4" t="s">
        <v>136</v>
      </c>
      <c r="D59" s="4" t="s">
        <v>134</v>
      </c>
      <c r="E59" s="4"/>
    </row>
    <row r="61" customFormat="false" ht="15" hidden="false" customHeight="false" outlineLevel="0" collapsed="false">
      <c r="A61" s="9" t="s">
        <v>145</v>
      </c>
      <c r="B61" s="21" t="n">
        <f aca="false">$B$53+$B$56+$B$57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146</v>
      </c>
    </row>
    <row r="3" customFormat="false" ht="15" hidden="false" customHeight="false" outlineLevel="0" collapsed="false">
      <c r="A3" s="5" t="s">
        <v>147</v>
      </c>
      <c r="B3" s="6" t="s">
        <v>34</v>
      </c>
      <c r="C3" s="6" t="s">
        <v>148</v>
      </c>
    </row>
    <row r="4" customFormat="false" ht="15" hidden="false" customHeight="false" outlineLevel="0" collapsed="false">
      <c r="A4" s="7" t="s">
        <v>149</v>
      </c>
      <c r="B4" s="8"/>
      <c r="C4" s="8"/>
    </row>
    <row r="5" customFormat="false" ht="15" hidden="false" customHeight="false" outlineLevel="0" collapsed="false">
      <c r="A5" s="9" t="s">
        <v>150</v>
      </c>
      <c r="B5" s="22" t="n">
        <f aca="false">Supuestos!$B$7</f>
        <v>400</v>
      </c>
      <c r="C5" s="2"/>
    </row>
    <row r="6" customFormat="false" ht="15" hidden="false" customHeight="false" outlineLevel="0" collapsed="false">
      <c r="A6" s="9" t="s">
        <v>151</v>
      </c>
      <c r="B6" s="22" t="n">
        <f aca="false">Supuestos!$B$8</f>
        <v>600</v>
      </c>
      <c r="C6" s="2"/>
    </row>
    <row r="7" customFormat="false" ht="15" hidden="false" customHeight="false" outlineLevel="0" collapsed="false">
      <c r="A7" s="9" t="s">
        <v>152</v>
      </c>
      <c r="B7" s="12" t="n">
        <f aca="false">Supuestos!$B$7*Supuestos!$B$9*Supuestos!$B$10</f>
        <v>714000</v>
      </c>
      <c r="C7" s="2" t="s">
        <v>153</v>
      </c>
    </row>
    <row r="8" customFormat="false" ht="15" hidden="false" customHeight="false" outlineLevel="0" collapsed="false">
      <c r="A8" s="9" t="s">
        <v>154</v>
      </c>
      <c r="B8" s="12" t="n">
        <f aca="false">Supuestos!$B$11-B7</f>
        <v>1070000</v>
      </c>
      <c r="C8" s="2" t="s">
        <v>155</v>
      </c>
    </row>
    <row r="9" customFormat="false" ht="15" hidden="false" customHeight="false" outlineLevel="0" collapsed="false">
      <c r="A9" s="9" t="s">
        <v>156</v>
      </c>
      <c r="B9" s="20" t="n">
        <f aca="false">B8/Supuestos!$B$11</f>
        <v>0.599775784753363</v>
      </c>
      <c r="C9" s="2"/>
    </row>
    <row r="10" customFormat="false" ht="15" hidden="false" customHeight="false" outlineLevel="0" collapsed="false">
      <c r="A10" s="9" t="s">
        <v>157</v>
      </c>
      <c r="B10" s="23" t="n">
        <f aca="false">B8*Supuestos!$B$14/10^6</f>
        <v>34.24</v>
      </c>
      <c r="C10" s="2" t="s">
        <v>158</v>
      </c>
    </row>
    <row r="11" customFormat="false" ht="15" hidden="false" customHeight="false" outlineLevel="0" collapsed="false">
      <c r="A11" s="9" t="s">
        <v>159</v>
      </c>
      <c r="B11" s="24" t="n">
        <f aca="false">Supuestos!$B$11/Supuestos!$B$12*100</f>
        <v>147.976111479761</v>
      </c>
      <c r="C11" s="2"/>
    </row>
    <row r="12" customFormat="false" ht="15" hidden="false" customHeight="false" outlineLevel="0" collapsed="false">
      <c r="A12" s="9" t="s">
        <v>160</v>
      </c>
      <c r="B12" s="23" t="n">
        <f aca="false">Supuestos!$B$12/(Supuestos!$B$6*Supuestos!$B$10)</f>
        <v>4.7278431372549</v>
      </c>
      <c r="C12" s="2"/>
    </row>
    <row r="14" customFormat="false" ht="15" hidden="false" customHeight="false" outlineLevel="0" collapsed="false">
      <c r="A14" s="7" t="s">
        <v>161</v>
      </c>
      <c r="B14" s="8"/>
      <c r="C14" s="8"/>
    </row>
    <row r="15" customFormat="false" ht="15" hidden="false" customHeight="false" outlineLevel="0" collapsed="false">
      <c r="A15" s="9" t="s">
        <v>162</v>
      </c>
      <c r="B15" s="23" t="n">
        <f aca="false">(Supuestos!$B$20+Supuestos!$B$21)*Supuestos!$B$14/10^6</f>
        <v>13.888</v>
      </c>
      <c r="C15" s="2" t="s">
        <v>163</v>
      </c>
    </row>
    <row r="16" customFormat="false" ht="15" hidden="false" customHeight="false" outlineLevel="0" collapsed="false">
      <c r="A16" s="9" t="s">
        <v>164</v>
      </c>
      <c r="B16" s="23" t="n">
        <f aca="false">Supuestos!$B$22*Supuestos!$B$14/10^6</f>
        <v>5.792</v>
      </c>
      <c r="C16" s="2" t="s">
        <v>165</v>
      </c>
    </row>
    <row r="17" customFormat="false" ht="15" hidden="false" customHeight="false" outlineLevel="0" collapsed="false">
      <c r="A17" s="9" t="s">
        <v>166</v>
      </c>
      <c r="B17" s="23" t="n">
        <f aca="false">Supuestos!$B$23*Supuestos!$B$14/10^6</f>
        <v>4.6304</v>
      </c>
      <c r="C17" s="2" t="s">
        <v>167</v>
      </c>
    </row>
    <row r="18" customFormat="false" ht="15" hidden="false" customHeight="false" outlineLevel="0" collapsed="false">
      <c r="A18" s="9" t="s">
        <v>86</v>
      </c>
      <c r="B18" s="25" t="n">
        <f aca="false">Supuestos!$B$24</f>
        <v>1.3</v>
      </c>
      <c r="C18" s="2"/>
    </row>
    <row r="19" customFormat="false" ht="15" hidden="false" customHeight="false" outlineLevel="0" collapsed="false">
      <c r="A19" s="3" t="s">
        <v>168</v>
      </c>
      <c r="B19" s="26" t="n">
        <f aca="false">SUM(B15:B18)</f>
        <v>25.6104</v>
      </c>
      <c r="C19" s="2"/>
    </row>
    <row r="20" customFormat="false" ht="15" hidden="false" customHeight="false" outlineLevel="0" collapsed="false">
      <c r="A20" s="9" t="s">
        <v>169</v>
      </c>
      <c r="B20" s="24" t="n">
        <f aca="false">B19/12</f>
        <v>2.1342</v>
      </c>
      <c r="C20" s="2"/>
    </row>
    <row r="21" customFormat="false" ht="15" hidden="false" customHeight="false" outlineLevel="0" collapsed="false">
      <c r="A21" s="9" t="s">
        <v>170</v>
      </c>
      <c r="B21" s="21" t="n">
        <f aca="false">B19/Supuestos!$B$13</f>
        <v>0.449305263157895</v>
      </c>
      <c r="C21" s="2"/>
    </row>
    <row r="22" customFormat="false" ht="15" hidden="false" customHeight="false" outlineLevel="0" collapsed="false">
      <c r="A22" s="9" t="s">
        <v>171</v>
      </c>
      <c r="B22" s="12" t="n">
        <f aca="false">Supuestos!$B$20+Supuestos!$B$21</f>
        <v>434000</v>
      </c>
      <c r="C22" s="2"/>
    </row>
    <row r="23" customFormat="false" ht="15" hidden="false" customHeight="false" outlineLevel="0" collapsed="false">
      <c r="A23" s="9" t="s">
        <v>172</v>
      </c>
      <c r="B23" s="21" t="n">
        <f aca="false">B15/Supuestos!$B$13</f>
        <v>0.243649122807018</v>
      </c>
      <c r="C23" s="2"/>
    </row>
    <row r="25" customFormat="false" ht="15" hidden="false" customHeight="false" outlineLevel="0" collapsed="false">
      <c r="A25" s="7" t="s">
        <v>173</v>
      </c>
      <c r="B25" s="8"/>
      <c r="C25" s="8"/>
    </row>
    <row r="26" customFormat="false" ht="15" hidden="false" customHeight="false" outlineLevel="0" collapsed="false">
      <c r="A26" s="3" t="s">
        <v>174</v>
      </c>
      <c r="B26" s="27" t="n">
        <f aca="false">Supuestos!$B$13*10^6/Supuestos!$B$12</f>
        <v>47.2793629727936</v>
      </c>
      <c r="C26" s="2" t="s">
        <v>175</v>
      </c>
    </row>
    <row r="27" customFormat="false" ht="15" hidden="false" customHeight="false" outlineLevel="0" collapsed="false">
      <c r="A27" s="9" t="s">
        <v>176</v>
      </c>
      <c r="B27" s="28" t="n">
        <f aca="false">Supuestos!$B$13/Supuestos!$B$16/12</f>
        <v>2.96875</v>
      </c>
      <c r="C27" s="2"/>
    </row>
    <row r="28" customFormat="false" ht="15" hidden="false" customHeight="false" outlineLevel="0" collapsed="false">
      <c r="A28" s="9" t="s">
        <v>177</v>
      </c>
      <c r="B28" s="28" t="n">
        <f aca="false">Supuestos!$B$24/Supuestos!$B$16/12</f>
        <v>0.0677083333333333</v>
      </c>
      <c r="C28" s="2"/>
    </row>
    <row r="29" customFormat="false" ht="15" hidden="false" customHeight="false" outlineLevel="0" collapsed="false">
      <c r="A29" s="9" t="s">
        <v>178</v>
      </c>
      <c r="B29" s="28" t="n">
        <f aca="false">Supuestos!$B$17-B27-B28</f>
        <v>18.9635416666667</v>
      </c>
      <c r="C29" s="2" t="s">
        <v>179</v>
      </c>
    </row>
    <row r="30" customFormat="false" ht="15" hidden="false" customHeight="false" outlineLevel="0" collapsed="false">
      <c r="A30" s="9" t="s">
        <v>180</v>
      </c>
      <c r="B30" s="24" t="n">
        <f aca="false">Supuestos!$B$18/Supuestos!$B$17</f>
        <v>2.68181818181818</v>
      </c>
      <c r="C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9" min="6" style="0" width="11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3" customFormat="false" ht="23.85" hidden="false" customHeight="false" outlineLevel="0" collapsed="false">
      <c r="A3" s="5" t="s">
        <v>183</v>
      </c>
      <c r="B3" s="6" t="s">
        <v>184</v>
      </c>
      <c r="C3" s="6" t="s">
        <v>185</v>
      </c>
      <c r="D3" s="6" t="s">
        <v>87</v>
      </c>
      <c r="E3" s="6" t="s">
        <v>148</v>
      </c>
    </row>
    <row r="4" customFormat="false" ht="15" hidden="false" customHeight="false" outlineLevel="0" collapsed="false">
      <c r="A4" s="9" t="s">
        <v>186</v>
      </c>
      <c r="B4" s="9" t="s">
        <v>187</v>
      </c>
      <c r="C4" s="12" t="n">
        <f aca="false">ROUND(Supuestos!$B$12*Supuestos!$B$28,-4)</f>
        <v>120000</v>
      </c>
      <c r="D4" s="23" t="n">
        <f aca="false">C4*(Supuestos!$B$14-Supuestos!$B$15)/10^6</f>
        <v>3.54</v>
      </c>
      <c r="E4" s="2" t="s">
        <v>188</v>
      </c>
    </row>
    <row r="5" customFormat="false" ht="15" hidden="false" customHeight="false" outlineLevel="0" collapsed="false">
      <c r="A5" s="9" t="s">
        <v>189</v>
      </c>
      <c r="B5" s="9" t="s">
        <v>187</v>
      </c>
      <c r="C5" s="12" t="n">
        <f aca="false">ROUND(Supuestos!$B$11*(Supuestos!$B$29-Supuestos!$B$30),-2)</f>
        <v>53500</v>
      </c>
      <c r="D5" s="23" t="n">
        <f aca="false">C5*Supuestos!$B$14/10^6</f>
        <v>1.712</v>
      </c>
      <c r="E5" s="2" t="s">
        <v>190</v>
      </c>
    </row>
    <row r="6" customFormat="false" ht="15" hidden="false" customHeight="false" outlineLevel="0" collapsed="false">
      <c r="A6" s="9" t="s">
        <v>191</v>
      </c>
      <c r="B6" s="9" t="s">
        <v>187</v>
      </c>
      <c r="C6" s="12" t="n">
        <f aca="false">Supuestos!$B$33</f>
        <v>115000</v>
      </c>
      <c r="D6" s="23" t="n">
        <f aca="false">C6*Supuestos!$B$14/10^6</f>
        <v>3.68</v>
      </c>
      <c r="E6" s="2" t="s">
        <v>192</v>
      </c>
    </row>
    <row r="7" customFormat="false" ht="15" hidden="false" customHeight="false" outlineLevel="0" collapsed="false">
      <c r="A7" s="9" t="s">
        <v>193</v>
      </c>
      <c r="B7" s="9" t="s">
        <v>187</v>
      </c>
      <c r="C7" s="12" t="n">
        <f aca="false">ROUND(Supuestos!$B$21*Supuestos!$B$34,-3)</f>
        <v>24000</v>
      </c>
      <c r="D7" s="23" t="n">
        <f aca="false">C7*Supuestos!$B$14/10^6</f>
        <v>0.768</v>
      </c>
      <c r="E7" s="2" t="s">
        <v>194</v>
      </c>
    </row>
    <row r="8" customFormat="false" ht="15" hidden="false" customHeight="false" outlineLevel="0" collapsed="false">
      <c r="A8" s="9" t="s">
        <v>195</v>
      </c>
      <c r="B8" s="9" t="s">
        <v>196</v>
      </c>
      <c r="D8" s="23" t="n">
        <f aca="false">Supuestos!$B$24*Supuestos!$B$35</f>
        <v>0.364</v>
      </c>
      <c r="E8" s="2" t="s">
        <v>197</v>
      </c>
    </row>
    <row r="9" customFormat="false" ht="15" hidden="false" customHeight="false" outlineLevel="0" collapsed="false">
      <c r="A9" s="3" t="s">
        <v>198</v>
      </c>
      <c r="C9" s="29" t="n">
        <f aca="false">SUM(C4:C7)</f>
        <v>312500</v>
      </c>
      <c r="D9" s="30" t="n">
        <f aca="false">SUM(D4:D7)</f>
        <v>9.7</v>
      </c>
    </row>
    <row r="10" customFormat="false" ht="15" hidden="false" customHeight="false" outlineLevel="0" collapsed="false">
      <c r="A10" s="9" t="s">
        <v>199</v>
      </c>
      <c r="D10" s="23" t="n">
        <f aca="false">D8</f>
        <v>0.364</v>
      </c>
    </row>
    <row r="11" customFormat="false" ht="15" hidden="false" customHeight="false" outlineLevel="0" collapsed="false">
      <c r="A11" s="31" t="s">
        <v>200</v>
      </c>
      <c r="B11" s="32"/>
      <c r="C11" s="33" t="n">
        <f aca="false">C9</f>
        <v>312500</v>
      </c>
      <c r="D11" s="34" t="n">
        <f aca="false">D9+D10</f>
        <v>10.064</v>
      </c>
      <c r="E11" s="32"/>
    </row>
    <row r="12" customFormat="false" ht="15" hidden="false" customHeight="false" outlineLevel="0" collapsed="false">
      <c r="A12" s="9" t="s">
        <v>201</v>
      </c>
      <c r="D12" s="23" t="n">
        <f aca="false">-(Supuestos!$B$38+Supuestos!$B$39+Supuestos!$B$40)</f>
        <v>-1.3</v>
      </c>
    </row>
    <row r="13" customFormat="false" ht="15" hidden="false" customHeight="false" outlineLevel="0" collapsed="false">
      <c r="A13" s="31" t="s">
        <v>202</v>
      </c>
      <c r="B13" s="32"/>
      <c r="C13" s="32"/>
      <c r="D13" s="34" t="n">
        <f aca="false">D11+D12</f>
        <v>8.764</v>
      </c>
      <c r="E13" s="32"/>
    </row>
    <row r="15" customFormat="false" ht="15" hidden="false" customHeight="false" outlineLevel="0" collapsed="false">
      <c r="A15" s="9" t="s">
        <v>203</v>
      </c>
      <c r="D15" s="21" t="n">
        <f aca="false">D9/Supuestos!$B$13</f>
        <v>0.170175438596491</v>
      </c>
    </row>
    <row r="16" customFormat="false" ht="15" hidden="false" customHeight="false" outlineLevel="0" collapsed="false">
      <c r="A16" s="9" t="s">
        <v>204</v>
      </c>
      <c r="D16" s="21" t="n">
        <f aca="false">D11/'Línea base'!$B$19</f>
        <v>0.392965357823384</v>
      </c>
    </row>
    <row r="17" customFormat="false" ht="15" hidden="false" customHeight="false" outlineLevel="0" collapsed="false">
      <c r="A17" s="9" t="s">
        <v>205</v>
      </c>
      <c r="D17" s="21" t="n">
        <f aca="false">D13/'Línea base'!$B$19</f>
        <v>0.34220472932871</v>
      </c>
    </row>
    <row r="18" customFormat="false" ht="15" hidden="false" customHeight="false" outlineLevel="0" collapsed="false">
      <c r="A18" s="9" t="s">
        <v>206</v>
      </c>
      <c r="D18" s="28" t="n">
        <f aca="false">(Supuestos!$B$13-D9-D12)*10^6/Supuestos!$B$12</f>
        <v>40.3118779031188</v>
      </c>
    </row>
    <row r="19" customFormat="false" ht="15" hidden="false" customHeight="false" outlineLevel="0" collapsed="false">
      <c r="A19" s="9" t="s">
        <v>207</v>
      </c>
      <c r="D19" s="21" t="n">
        <f aca="false">D18/'Línea base'!$B$26-1</f>
        <v>-0.147368421052632</v>
      </c>
    </row>
    <row r="20" customFormat="false" ht="15" hidden="false" customHeight="false" outlineLevel="0" collapsed="false">
      <c r="A20" s="9" t="s">
        <v>208</v>
      </c>
      <c r="D20" s="28" t="n">
        <f aca="false">'Línea base'!$B$29+D13/Supuestos!$B$16/12</f>
        <v>19.42</v>
      </c>
    </row>
    <row r="21" customFormat="false" ht="15" hidden="false" customHeight="false" outlineLevel="0" collapsed="false">
      <c r="A21" s="9" t="s">
        <v>209</v>
      </c>
      <c r="D21" s="12" t="n">
        <f aca="false">C11/(Supuestos!$B$9*Supuestos!$B$10)</f>
        <v>175.070028011204</v>
      </c>
    </row>
    <row r="22" customFormat="false" ht="15" hidden="false" customHeight="false" outlineLevel="0" collapsed="false">
      <c r="A22" s="9" t="s">
        <v>210</v>
      </c>
      <c r="D22" s="21" t="n">
        <f aca="false">C11*Supuestos!$B$14/10^6/'Línea base'!$B$10</f>
        <v>0.292056074766355</v>
      </c>
    </row>
    <row r="23" customFormat="false" ht="15" hidden="false" customHeight="false" outlineLevel="0" collapsed="false">
      <c r="A23" s="2" t="s">
        <v>211</v>
      </c>
    </row>
    <row r="25" customFormat="false" ht="15" hidden="false" customHeight="false" outlineLevel="0" collapsed="false">
      <c r="A25" s="7" t="s">
        <v>212</v>
      </c>
      <c r="B25" s="8"/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A26" s="5" t="s">
        <v>213</v>
      </c>
      <c r="B26" s="6" t="s">
        <v>214</v>
      </c>
      <c r="C26" s="6" t="s">
        <v>215</v>
      </c>
      <c r="D26" s="6" t="s">
        <v>216</v>
      </c>
      <c r="E26" s="6" t="s">
        <v>217</v>
      </c>
      <c r="F26" s="6" t="s">
        <v>218</v>
      </c>
      <c r="G26" s="6" t="s">
        <v>219</v>
      </c>
      <c r="H26" s="6" t="s">
        <v>220</v>
      </c>
      <c r="I26" s="6" t="s">
        <v>221</v>
      </c>
    </row>
    <row r="27" customFormat="false" ht="15" hidden="false" customHeight="false" outlineLevel="0" collapsed="false">
      <c r="A27" s="9" t="s">
        <v>222</v>
      </c>
      <c r="B27" s="35" t="n">
        <v>0.1</v>
      </c>
      <c r="C27" s="35" t="n">
        <v>0.6</v>
      </c>
      <c r="D27" s="35" t="n">
        <v>1.5</v>
      </c>
      <c r="E27" s="35" t="n">
        <v>2.2</v>
      </c>
      <c r="F27" s="23" t="n">
        <f aca="false">$D$11/4</f>
        <v>2.516</v>
      </c>
      <c r="G27" s="23" t="n">
        <f aca="false">$D$11/4</f>
        <v>2.516</v>
      </c>
      <c r="H27" s="23" t="n">
        <f aca="false">$D$11/4</f>
        <v>2.516</v>
      </c>
      <c r="I27" s="23" t="n">
        <f aca="false">$D$11/4</f>
        <v>2.516</v>
      </c>
    </row>
    <row r="28" customFormat="false" ht="15" hidden="false" customHeight="false" outlineLevel="0" collapsed="false">
      <c r="A28" s="9" t="s">
        <v>223</v>
      </c>
      <c r="B28" s="21" t="n">
        <f aca="false">B27/($D$11/4)</f>
        <v>0.0397456279809221</v>
      </c>
      <c r="C28" s="21" t="n">
        <f aca="false">C27/($D$11/4)</f>
        <v>0.238473767885533</v>
      </c>
      <c r="D28" s="21" t="n">
        <f aca="false">D27/($D$11/4)</f>
        <v>0.596184419713831</v>
      </c>
      <c r="E28" s="21" t="n">
        <f aca="false">E27/($D$11/4)</f>
        <v>0.874403815580286</v>
      </c>
      <c r="F28" s="21" t="n">
        <f aca="false">F27/($D$11/4)</f>
        <v>1</v>
      </c>
      <c r="G28" s="21" t="n">
        <f aca="false">G27/($D$11/4)</f>
        <v>1</v>
      </c>
      <c r="H28" s="21" t="n">
        <f aca="false">H27/($D$11/4)</f>
        <v>1</v>
      </c>
      <c r="I28" s="21" t="n">
        <f aca="false">I27/($D$11/4)</f>
        <v>1</v>
      </c>
    </row>
    <row r="29" customFormat="false" ht="15" hidden="false" customHeight="false" outlineLevel="0" collapsed="false">
      <c r="A29" s="2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225</v>
      </c>
    </row>
    <row r="3" customFormat="false" ht="15" hidden="false" customHeight="false" outlineLevel="0" collapsed="false">
      <c r="A3" s="5" t="s">
        <v>226</v>
      </c>
      <c r="B3" s="6" t="s">
        <v>214</v>
      </c>
      <c r="C3" s="6" t="s">
        <v>215</v>
      </c>
      <c r="D3" s="6" t="s">
        <v>216</v>
      </c>
      <c r="E3" s="6" t="s">
        <v>217</v>
      </c>
      <c r="F3" s="6" t="s">
        <v>227</v>
      </c>
    </row>
    <row r="4" customFormat="false" ht="15" hidden="false" customHeight="false" outlineLevel="0" collapsed="false">
      <c r="A4" s="9" t="s">
        <v>228</v>
      </c>
      <c r="B4" s="17" t="n">
        <v>0.48</v>
      </c>
      <c r="C4" s="17" t="n">
        <v>0.42</v>
      </c>
      <c r="D4" s="17" t="n">
        <v>0</v>
      </c>
      <c r="E4" s="17" t="n">
        <v>0</v>
      </c>
      <c r="F4" s="23" t="n">
        <f aca="false">SUM(B4:E4)</f>
        <v>0.9</v>
      </c>
    </row>
    <row r="5" customFormat="false" ht="15" hidden="false" customHeight="false" outlineLevel="0" collapsed="false">
      <c r="A5" s="9" t="s">
        <v>229</v>
      </c>
      <c r="B5" s="17" t="n">
        <v>0.15</v>
      </c>
      <c r="C5" s="17" t="n">
        <v>0</v>
      </c>
      <c r="D5" s="17" t="n">
        <v>0</v>
      </c>
      <c r="E5" s="17" t="n">
        <v>0</v>
      </c>
      <c r="F5" s="23" t="n">
        <f aca="false">SUM(B5:E5)</f>
        <v>0.15</v>
      </c>
    </row>
    <row r="6" customFormat="false" ht="15" hidden="false" customHeight="false" outlineLevel="0" collapsed="false">
      <c r="A6" s="9" t="s">
        <v>230</v>
      </c>
      <c r="B6" s="17" t="n">
        <v>0.15</v>
      </c>
      <c r="C6" s="17" t="n">
        <v>0.3</v>
      </c>
      <c r="D6" s="17" t="n">
        <v>0</v>
      </c>
      <c r="E6" s="17" t="n">
        <v>0</v>
      </c>
      <c r="F6" s="23" t="n">
        <f aca="false">SUM(B6:E6)</f>
        <v>0.45</v>
      </c>
    </row>
    <row r="7" customFormat="false" ht="15" hidden="false" customHeight="false" outlineLevel="0" collapsed="false">
      <c r="A7" s="9" t="s">
        <v>231</v>
      </c>
      <c r="B7" s="17" t="n">
        <v>0</v>
      </c>
      <c r="C7" s="17" t="n">
        <v>0.36</v>
      </c>
      <c r="D7" s="17" t="n">
        <v>0</v>
      </c>
      <c r="E7" s="17" t="n">
        <v>0</v>
      </c>
      <c r="F7" s="23" t="n">
        <f aca="false">SUM(B7:E7)</f>
        <v>0.36</v>
      </c>
    </row>
    <row r="8" customFormat="false" ht="15" hidden="false" customHeight="false" outlineLevel="0" collapsed="false">
      <c r="A8" s="9" t="s">
        <v>232</v>
      </c>
      <c r="B8" s="17" t="n">
        <v>0</v>
      </c>
      <c r="C8" s="17" t="n">
        <v>0.15</v>
      </c>
      <c r="D8" s="17" t="n">
        <v>0.25</v>
      </c>
      <c r="E8" s="17" t="n">
        <v>0</v>
      </c>
      <c r="F8" s="23" t="n">
        <f aca="false">SUM(B8:E8)</f>
        <v>0.4</v>
      </c>
    </row>
    <row r="9" customFormat="false" ht="15" hidden="false" customHeight="false" outlineLevel="0" collapsed="false">
      <c r="A9" s="9" t="s">
        <v>233</v>
      </c>
      <c r="B9" s="17" t="n">
        <v>0</v>
      </c>
      <c r="C9" s="17" t="n">
        <v>0</v>
      </c>
      <c r="D9" s="17" t="n">
        <v>0.24</v>
      </c>
      <c r="E9" s="17" t="n">
        <v>0</v>
      </c>
      <c r="F9" s="23" t="n">
        <f aca="false">SUM(B9:E9)</f>
        <v>0.24</v>
      </c>
    </row>
    <row r="10" customFormat="false" ht="15" hidden="false" customHeight="false" outlineLevel="0" collapsed="false">
      <c r="A10" s="9" t="s">
        <v>234</v>
      </c>
      <c r="B10" s="17" t="n">
        <v>0</v>
      </c>
      <c r="C10" s="17" t="n">
        <v>0</v>
      </c>
      <c r="D10" s="17" t="n">
        <v>0.27</v>
      </c>
      <c r="E10" s="17" t="n">
        <v>0</v>
      </c>
      <c r="F10" s="23" t="n">
        <f aca="false">SUM(B10:E10)</f>
        <v>0.27</v>
      </c>
    </row>
    <row r="11" customFormat="false" ht="15" hidden="false" customHeight="false" outlineLevel="0" collapsed="false">
      <c r="A11" s="9" t="s">
        <v>235</v>
      </c>
      <c r="B11" s="17" t="n">
        <v>0</v>
      </c>
      <c r="C11" s="17" t="n">
        <v>0</v>
      </c>
      <c r="D11" s="17" t="n">
        <v>0</v>
      </c>
      <c r="E11" s="17" t="n">
        <v>0.4</v>
      </c>
      <c r="F11" s="23" t="n">
        <f aca="false">SUM(B11:E11)</f>
        <v>0.4</v>
      </c>
    </row>
    <row r="12" customFormat="false" ht="15" hidden="false" customHeight="false" outlineLevel="0" collapsed="false">
      <c r="A12" s="9" t="s">
        <v>236</v>
      </c>
      <c r="B12" s="17" t="n">
        <v>0.4</v>
      </c>
      <c r="C12" s="17" t="n">
        <v>0.46</v>
      </c>
      <c r="D12" s="17" t="n">
        <v>0.36</v>
      </c>
      <c r="E12" s="17" t="n">
        <v>0.32</v>
      </c>
      <c r="F12" s="23" t="n">
        <f aca="false">SUM(B12:E12)</f>
        <v>1.54</v>
      </c>
    </row>
    <row r="13" customFormat="false" ht="15" hidden="false" customHeight="false" outlineLevel="0" collapsed="false">
      <c r="A13" s="3" t="s">
        <v>237</v>
      </c>
      <c r="B13" s="30" t="n">
        <f aca="false">SUM(B4:B12)</f>
        <v>1.18</v>
      </c>
      <c r="C13" s="30" t="n">
        <f aca="false">SUM(C4:C12)</f>
        <v>1.69</v>
      </c>
      <c r="D13" s="30" t="n">
        <f aca="false">SUM(D4:D12)</f>
        <v>1.12</v>
      </c>
      <c r="E13" s="30" t="n">
        <f aca="false">SUM(E4:E12)</f>
        <v>0.72</v>
      </c>
      <c r="F13" s="30" t="n">
        <f aca="false">SUM(B13:E13)</f>
        <v>4.71</v>
      </c>
    </row>
    <row r="14" customFormat="false" ht="15" hidden="false" customHeight="false" outlineLevel="0" collapsed="false">
      <c r="A14" s="9" t="s">
        <v>238</v>
      </c>
      <c r="B14" s="35" t="n">
        <v>0.17</v>
      </c>
      <c r="C14" s="35" t="n">
        <v>0.25</v>
      </c>
      <c r="D14" s="35" t="n">
        <v>0.17</v>
      </c>
      <c r="E14" s="35" t="n">
        <v>0.1</v>
      </c>
      <c r="F14" s="23" t="n">
        <f aca="false">SUM(B14:E14)</f>
        <v>0.69</v>
      </c>
    </row>
    <row r="15" customFormat="false" ht="15" hidden="false" customHeight="false" outlineLevel="0" collapsed="false">
      <c r="A15" s="31" t="s">
        <v>239</v>
      </c>
      <c r="B15" s="34" t="n">
        <f aca="false">B13+B14</f>
        <v>1.35</v>
      </c>
      <c r="C15" s="34" t="n">
        <f aca="false">C13+C14</f>
        <v>1.94</v>
      </c>
      <c r="D15" s="34" t="n">
        <f aca="false">D13+D14</f>
        <v>1.29</v>
      </c>
      <c r="E15" s="34" t="n">
        <f aca="false">E13+E14</f>
        <v>0.82</v>
      </c>
      <c r="F15" s="34" t="n">
        <f aca="false">SUM(B15:E15)</f>
        <v>5.4</v>
      </c>
    </row>
    <row r="16" customFormat="false" ht="15" hidden="false" customHeight="false" outlineLevel="0" collapsed="false">
      <c r="A16" s="9" t="s">
        <v>240</v>
      </c>
      <c r="B16" s="21" t="n">
        <f aca="false">B14/B13</f>
        <v>0.14406779661017</v>
      </c>
      <c r="C16" s="21" t="n">
        <f aca="false">C14/C13</f>
        <v>0.14792899408284</v>
      </c>
      <c r="D16" s="21" t="n">
        <f aca="false">D14/D13</f>
        <v>0.151785714285714</v>
      </c>
      <c r="E16" s="21" t="n">
        <f aca="false">E14/E13</f>
        <v>0.138888888888889</v>
      </c>
      <c r="F16" s="21" t="n">
        <f aca="false">F14/F13</f>
        <v>0.146496815286624</v>
      </c>
    </row>
    <row r="17" customFormat="false" ht="15" hidden="false" customHeight="false" outlineLevel="0" collapsed="false">
      <c r="A17" s="9" t="s">
        <v>241</v>
      </c>
      <c r="B17" s="9" t="s">
        <v>242</v>
      </c>
      <c r="C17" s="9" t="s">
        <v>242</v>
      </c>
      <c r="D17" s="9" t="s">
        <v>243</v>
      </c>
      <c r="E17" s="9" t="s">
        <v>243</v>
      </c>
    </row>
    <row r="19" customFormat="false" ht="15" hidden="false" customHeight="false" outlineLevel="0" collapsed="false">
      <c r="A19" s="3" t="s">
        <v>244</v>
      </c>
      <c r="B19" s="30" t="n">
        <f aca="false">B15+C15</f>
        <v>3.29</v>
      </c>
    </row>
    <row r="20" customFormat="false" ht="15" hidden="false" customHeight="false" outlineLevel="0" collapsed="false">
      <c r="A20" s="3" t="s">
        <v>245</v>
      </c>
      <c r="B20" s="30" t="n">
        <f aca="false">D15+E15</f>
        <v>2.11</v>
      </c>
    </row>
    <row r="22" customFormat="false" ht="15" hidden="false" customHeight="false" outlineLevel="0" collapsed="false">
      <c r="A22" s="7" t="s">
        <v>246</v>
      </c>
      <c r="B22" s="8"/>
      <c r="C22" s="8"/>
      <c r="D22" s="8"/>
      <c r="E22" s="8"/>
      <c r="F22" s="8"/>
    </row>
    <row r="23" customFormat="false" ht="15" hidden="false" customHeight="false" outlineLevel="0" collapsed="false">
      <c r="A23" s="9" t="s">
        <v>247</v>
      </c>
      <c r="B23" s="16" t="n">
        <v>2</v>
      </c>
    </row>
    <row r="24" customFormat="false" ht="15" hidden="false" customHeight="false" outlineLevel="0" collapsed="false">
      <c r="A24" s="9" t="s">
        <v>248</v>
      </c>
      <c r="B24" s="16" t="n">
        <v>1.4</v>
      </c>
    </row>
    <row r="25" customFormat="false" ht="15" hidden="false" customHeight="false" outlineLevel="0" collapsed="false">
      <c r="A25" s="9" t="s">
        <v>249</v>
      </c>
      <c r="B25" s="16" t="n">
        <v>1.3</v>
      </c>
    </row>
    <row r="26" customFormat="false" ht="15" hidden="false" customHeight="false" outlineLevel="0" collapsed="false">
      <c r="A26" s="9" t="s">
        <v>250</v>
      </c>
      <c r="B26" s="16" t="n">
        <v>0.7</v>
      </c>
    </row>
    <row r="27" customFormat="false" ht="15" hidden="false" customHeight="false" outlineLevel="0" collapsed="false">
      <c r="A27" s="3" t="s">
        <v>251</v>
      </c>
      <c r="B27" s="26" t="n">
        <f aca="false">SUM(B23:B26)</f>
        <v>5.4</v>
      </c>
      <c r="C27" s="9" t="str">
        <f aca="false">IF(ROUND(B27-F15,2)=0,"OK","Revisar")</f>
        <v>OK</v>
      </c>
    </row>
    <row r="29" customFormat="false" ht="15" hidden="false" customHeight="false" outlineLevel="0" collapsed="false">
      <c r="A29" s="7" t="s">
        <v>252</v>
      </c>
      <c r="B29" s="8"/>
      <c r="C29" s="8"/>
      <c r="D29" s="8"/>
      <c r="E29" s="8"/>
      <c r="F29" s="8"/>
    </row>
    <row r="30" customFormat="false" ht="15" hidden="false" customHeight="false" outlineLevel="0" collapsed="false">
      <c r="A30" s="5" t="s">
        <v>213</v>
      </c>
      <c r="B30" s="6" t="s">
        <v>214</v>
      </c>
      <c r="C30" s="6" t="s">
        <v>215</v>
      </c>
      <c r="D30" s="6" t="s">
        <v>216</v>
      </c>
      <c r="E30" s="6" t="s">
        <v>217</v>
      </c>
      <c r="F30" s="6" t="s">
        <v>253</v>
      </c>
    </row>
    <row r="31" customFormat="false" ht="15" hidden="false" customHeight="false" outlineLevel="0" collapsed="false">
      <c r="A31" s="9" t="s">
        <v>254</v>
      </c>
      <c r="B31" s="17" t="n">
        <v>0.1</v>
      </c>
      <c r="C31" s="17" t="n">
        <v>0.2</v>
      </c>
      <c r="D31" s="17" t="n">
        <v>0.22</v>
      </c>
      <c r="E31" s="17" t="n">
        <v>0.28</v>
      </c>
      <c r="F31" s="23" t="n">
        <f aca="false">SUM(B31:E31)</f>
        <v>0.8</v>
      </c>
    </row>
    <row r="32" customFormat="false" ht="15" hidden="false" customHeight="false" outlineLevel="0" collapsed="false">
      <c r="A32" s="2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0" min="3" style="0" width="11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256</v>
      </c>
    </row>
    <row r="2" customFormat="false" ht="15" hidden="false" customHeight="false" outlineLevel="0" collapsed="false">
      <c r="A2" s="2" t="s">
        <v>257</v>
      </c>
    </row>
    <row r="3" customFormat="false" ht="15" hidden="false" customHeight="false" outlineLevel="0" collapsed="false">
      <c r="A3" s="5" t="s">
        <v>147</v>
      </c>
      <c r="B3" s="6" t="s">
        <v>258</v>
      </c>
      <c r="C3" s="6" t="s">
        <v>214</v>
      </c>
      <c r="D3" s="6" t="s">
        <v>215</v>
      </c>
      <c r="E3" s="6" t="s">
        <v>216</v>
      </c>
      <c r="F3" s="6" t="s">
        <v>217</v>
      </c>
      <c r="G3" s="6" t="s">
        <v>218</v>
      </c>
      <c r="H3" s="6" t="s">
        <v>219</v>
      </c>
      <c r="I3" s="6" t="s">
        <v>220</v>
      </c>
      <c r="J3" s="6" t="s">
        <v>221</v>
      </c>
      <c r="K3" s="6" t="s">
        <v>259</v>
      </c>
    </row>
    <row r="4" customFormat="false" ht="15" hidden="false" customHeight="false" outlineLevel="0" collapsed="false">
      <c r="A4" s="7" t="s">
        <v>260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customFormat="false" ht="15" hidden="false" customHeight="false" outlineLevel="0" collapsed="false">
      <c r="A5" s="9" t="s">
        <v>261</v>
      </c>
      <c r="C5" s="12" t="n">
        <f aca="false">Beneficios!$B$28*Beneficios!$C$11/4</f>
        <v>3105.12718600954</v>
      </c>
      <c r="D5" s="12" t="n">
        <f aca="false">Beneficios!$C$28*Beneficios!$C$11/4</f>
        <v>18630.7631160572</v>
      </c>
      <c r="E5" s="12" t="n">
        <f aca="false">Beneficios!$D$28*Beneficios!$C$11/4</f>
        <v>46576.9077901431</v>
      </c>
      <c r="F5" s="12" t="n">
        <f aca="false">Beneficios!$E$28*Beneficios!$C$11/4</f>
        <v>68312.7980922099</v>
      </c>
      <c r="G5" s="12" t="n">
        <f aca="false">Beneficios!$F$28*Beneficios!$C$11/4</f>
        <v>78125</v>
      </c>
      <c r="H5" s="12" t="n">
        <f aca="false">Beneficios!$G$28*Beneficios!$C$11/4</f>
        <v>78125</v>
      </c>
      <c r="I5" s="12" t="n">
        <f aca="false">Beneficios!$H$28*Beneficios!$C$11/4</f>
        <v>78125</v>
      </c>
      <c r="J5" s="12" t="n">
        <f aca="false">Beneficios!$I$28*Beneficios!$C$11/4</f>
        <v>78125</v>
      </c>
      <c r="K5" s="12" t="n">
        <f aca="false">SUM(C5:J5)</f>
        <v>449125.59618442</v>
      </c>
    </row>
    <row r="6" customFormat="false" ht="15" hidden="false" customHeight="false" outlineLevel="0" collapsed="false">
      <c r="A6" s="9" t="s">
        <v>262</v>
      </c>
      <c r="B6" s="12" t="n">
        <f aca="false">Supuestos!$B$11/4</f>
        <v>446000</v>
      </c>
      <c r="C6" s="12" t="n">
        <f aca="false">$B6-C5</f>
        <v>442894.87281399</v>
      </c>
      <c r="D6" s="12" t="n">
        <f aca="false">$B6-D5</f>
        <v>427369.236883943</v>
      </c>
      <c r="E6" s="12" t="n">
        <f aca="false">$B6-E5</f>
        <v>399423.092209857</v>
      </c>
      <c r="F6" s="12" t="n">
        <f aca="false">$B6-F5</f>
        <v>377687.20190779</v>
      </c>
      <c r="G6" s="12" t="n">
        <f aca="false">$B6-G5</f>
        <v>367875</v>
      </c>
      <c r="H6" s="12" t="n">
        <f aca="false">$B6-H5</f>
        <v>367875</v>
      </c>
      <c r="I6" s="12" t="n">
        <f aca="false">$B6-I5</f>
        <v>367875</v>
      </c>
      <c r="J6" s="12" t="n">
        <f aca="false">$B6-J5</f>
        <v>367875</v>
      </c>
    </row>
    <row r="7" customFormat="false" ht="15" hidden="false" customHeight="false" outlineLevel="0" collapsed="false">
      <c r="A7" s="3" t="s">
        <v>263</v>
      </c>
      <c r="B7" s="29" t="n">
        <f aca="false">'Línea base'!$B$8/4</f>
        <v>267500</v>
      </c>
      <c r="C7" s="29" t="n">
        <f aca="false">$B7-C5</f>
        <v>264394.87281399</v>
      </c>
      <c r="D7" s="29" t="n">
        <f aca="false">$B7-D5</f>
        <v>248869.236883943</v>
      </c>
      <c r="E7" s="29" t="n">
        <f aca="false">$B7-E5</f>
        <v>220923.092209857</v>
      </c>
      <c r="F7" s="29" t="n">
        <f aca="false">$B7-F5</f>
        <v>199187.20190779</v>
      </c>
      <c r="G7" s="29" t="n">
        <f aca="false">$B7-G5</f>
        <v>189375</v>
      </c>
      <c r="H7" s="29" t="n">
        <f aca="false">$B7-H5</f>
        <v>189375</v>
      </c>
      <c r="I7" s="29" t="n">
        <f aca="false">$B7-I5</f>
        <v>189375</v>
      </c>
      <c r="J7" s="29" t="n">
        <f aca="false">$B7-J5</f>
        <v>189375</v>
      </c>
    </row>
    <row r="8" customFormat="false" ht="15" hidden="false" customHeight="false" outlineLevel="0" collapsed="false">
      <c r="A8" s="3" t="s">
        <v>264</v>
      </c>
      <c r="B8" s="29" t="n">
        <f aca="false">Supuestos!$B$8</f>
        <v>600</v>
      </c>
      <c r="C8" s="29" t="n">
        <f aca="false">$B8-C5/(Supuestos!$B$9*Supuestos!$B$10/4)</f>
        <v>593.041731796057</v>
      </c>
      <c r="D8" s="29" t="n">
        <f aca="false">$B8-D5/(Supuestos!$B$9*Supuestos!$B$10/4)</f>
        <v>558.250390776342</v>
      </c>
      <c r="E8" s="29" t="n">
        <f aca="false">$B8-E5/(Supuestos!$B$9*Supuestos!$B$10/4)</f>
        <v>495.625976940856</v>
      </c>
      <c r="F8" s="29" t="n">
        <f aca="false">$B8-F5/(Supuestos!$B$9*Supuestos!$B$10/4)</f>
        <v>446.918099513255</v>
      </c>
      <c r="G8" s="29" t="n">
        <f aca="false">$B8-G5/(Supuestos!$B$9*Supuestos!$B$10/4)</f>
        <v>424.929971988796</v>
      </c>
      <c r="H8" s="29" t="n">
        <f aca="false">$B8-H5/(Supuestos!$B$9*Supuestos!$B$10/4)</f>
        <v>424.929971988796</v>
      </c>
      <c r="I8" s="29" t="n">
        <f aca="false">$B8-I5/(Supuestos!$B$9*Supuestos!$B$10/4)</f>
        <v>424.929971988796</v>
      </c>
      <c r="J8" s="29" t="n">
        <f aca="false">$B8-J5/(Supuestos!$B$9*Supuestos!$B$10/4)</f>
        <v>424.929971988796</v>
      </c>
    </row>
    <row r="9" customFormat="false" ht="15" hidden="false" customHeight="false" outlineLevel="0" collapsed="false">
      <c r="A9" s="9" t="s">
        <v>265</v>
      </c>
      <c r="B9" s="12" t="n">
        <f aca="false">Supuestos!$B$7</f>
        <v>400</v>
      </c>
      <c r="C9" s="12" t="n">
        <f aca="false">$B9</f>
        <v>400</v>
      </c>
      <c r="D9" s="12" t="n">
        <f aca="false">$B9</f>
        <v>400</v>
      </c>
      <c r="E9" s="12" t="n">
        <f aca="false">$B9</f>
        <v>400</v>
      </c>
      <c r="F9" s="12" t="n">
        <f aca="false">$B9</f>
        <v>400</v>
      </c>
      <c r="G9" s="12" t="n">
        <f aca="false">$B9</f>
        <v>400</v>
      </c>
      <c r="H9" s="12" t="n">
        <f aca="false">$B9</f>
        <v>400</v>
      </c>
      <c r="I9" s="12" t="n">
        <f aca="false">$B9</f>
        <v>400</v>
      </c>
      <c r="J9" s="12" t="n">
        <f aca="false">$B9</f>
        <v>400</v>
      </c>
    </row>
    <row r="10" customFormat="false" ht="15" hidden="false" customHeight="false" outlineLevel="0" collapsed="false">
      <c r="A10" s="9" t="s">
        <v>159</v>
      </c>
      <c r="B10" s="24" t="n">
        <f aca="false">'Línea base'!$B$11</f>
        <v>147.976111479761</v>
      </c>
      <c r="C10" s="24" t="n">
        <f aca="false">C6/(Supuestos!$B$12/4)*100</f>
        <v>146.945876846049</v>
      </c>
      <c r="D10" s="24" t="n">
        <f aca="false">D6/(Supuestos!$B$12/4)*100</f>
        <v>141.794703677486</v>
      </c>
      <c r="E10" s="24" t="n">
        <f aca="false">E6/(Supuestos!$B$12/4)*100</f>
        <v>132.522591974073</v>
      </c>
      <c r="F10" s="24" t="n">
        <f aca="false">F6/(Supuestos!$B$12/4)*100</f>
        <v>125.310949538086</v>
      </c>
      <c r="G10" s="24" t="n">
        <f aca="false">G6/(Supuestos!$B$12/4)*100</f>
        <v>122.055408095554</v>
      </c>
      <c r="H10" s="24" t="n">
        <f aca="false">H6/(Supuestos!$B$12/4)*100</f>
        <v>122.055408095554</v>
      </c>
      <c r="I10" s="24" t="n">
        <f aca="false">I6/(Supuestos!$B$12/4)*100</f>
        <v>122.055408095554</v>
      </c>
      <c r="J10" s="24" t="n">
        <f aca="false">J6/(Supuestos!$B$12/4)*100</f>
        <v>122.055408095554</v>
      </c>
    </row>
    <row r="11" customFormat="false" ht="15" hidden="false" customHeight="false" outlineLevel="0" collapsed="false">
      <c r="A11" s="9" t="s">
        <v>160</v>
      </c>
      <c r="B11" s="23" t="n">
        <f aca="false">'Línea base'!$B$12</f>
        <v>4.7278431372549</v>
      </c>
      <c r="C11" s="23" t="n">
        <f aca="false">Supuestos!$B$9*100/C10</f>
        <v>4.76365866824131</v>
      </c>
      <c r="D11" s="23" t="n">
        <f aca="false">Supuestos!$B$9*100/D10</f>
        <v>4.93671471391597</v>
      </c>
      <c r="E11" s="23" t="n">
        <f aca="false">Supuestos!$B$9*100/E10</f>
        <v>5.28211823789975</v>
      </c>
      <c r="F11" s="23" t="n">
        <f aca="false">Supuestos!$B$9*100/F10</f>
        <v>5.58610402826171</v>
      </c>
      <c r="G11" s="23" t="n">
        <f aca="false">Supuestos!$B$9*100/G10</f>
        <v>5.73510023785253</v>
      </c>
      <c r="H11" s="23" t="n">
        <f aca="false">Supuestos!$B$9*100/H10</f>
        <v>5.73510023785253</v>
      </c>
      <c r="I11" s="23" t="n">
        <f aca="false">Supuestos!$B$9*100/I10</f>
        <v>5.73510023785253</v>
      </c>
      <c r="J11" s="23" t="n">
        <f aca="false">Supuestos!$B$9*100/J10</f>
        <v>5.73510023785253</v>
      </c>
    </row>
    <row r="13" customFormat="false" ht="15" hidden="false" customHeight="false" outlineLevel="0" collapsed="false">
      <c r="A13" s="7" t="s">
        <v>266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false" outlineLevel="0" collapsed="false">
      <c r="A14" s="3" t="s">
        <v>267</v>
      </c>
      <c r="B14" s="30" t="n">
        <f aca="false">'Línea base'!$B$10/4</f>
        <v>8.56</v>
      </c>
      <c r="C14" s="30" t="n">
        <f aca="false">C7*Supuestos!$B$14/10^6</f>
        <v>8.46063593004769</v>
      </c>
      <c r="D14" s="30" t="n">
        <f aca="false">D7*Supuestos!$B$14/10^6</f>
        <v>7.96381558028617</v>
      </c>
      <c r="E14" s="30" t="n">
        <f aca="false">E7*Supuestos!$B$14/10^6</f>
        <v>7.06953895071542</v>
      </c>
      <c r="F14" s="30" t="n">
        <f aca="false">F7*Supuestos!$B$14/10^6</f>
        <v>6.37399046104929</v>
      </c>
      <c r="G14" s="30" t="n">
        <f aca="false">G7*Supuestos!$B$14/10^6</f>
        <v>6.06</v>
      </c>
      <c r="H14" s="30" t="n">
        <f aca="false">H7*Supuestos!$B$14/10^6</f>
        <v>6.06</v>
      </c>
      <c r="I14" s="30" t="n">
        <f aca="false">I7*Supuestos!$B$14/10^6</f>
        <v>6.06</v>
      </c>
      <c r="J14" s="30" t="n">
        <f aca="false">J7*Supuestos!$B$14/10^6</f>
        <v>6.06</v>
      </c>
      <c r="K14" s="30" t="n">
        <f aca="false">SUM(C14:J14)</f>
        <v>54.1079809220986</v>
      </c>
    </row>
    <row r="15" customFormat="false" ht="15" hidden="false" customHeight="false" outlineLevel="0" collapsed="false">
      <c r="A15" s="9" t="s">
        <v>268</v>
      </c>
      <c r="C15" s="23" t="n">
        <f aca="false">Beneficios!$B$27</f>
        <v>0.1</v>
      </c>
      <c r="D15" s="23" t="n">
        <f aca="false">Beneficios!$C$27</f>
        <v>0.6</v>
      </c>
      <c r="E15" s="23" t="n">
        <f aca="false">Beneficios!$D$27</f>
        <v>1.5</v>
      </c>
      <c r="F15" s="23" t="n">
        <f aca="false">Beneficios!$E$27</f>
        <v>2.2</v>
      </c>
      <c r="G15" s="23" t="n">
        <f aca="false">Beneficios!$F$27</f>
        <v>2.516</v>
      </c>
      <c r="H15" s="23" t="n">
        <f aca="false">Beneficios!$G$27</f>
        <v>2.516</v>
      </c>
      <c r="I15" s="23" t="n">
        <f aca="false">Beneficios!$H$27</f>
        <v>2.516</v>
      </c>
      <c r="J15" s="23" t="n">
        <f aca="false">Beneficios!$I$27</f>
        <v>2.516</v>
      </c>
      <c r="K15" s="23" t="n">
        <f aca="false">SUM(C15:J15)</f>
        <v>14.464</v>
      </c>
    </row>
    <row r="16" customFormat="false" ht="15" hidden="false" customHeight="false" outlineLevel="0" collapsed="false">
      <c r="A16" s="9" t="s">
        <v>269</v>
      </c>
      <c r="C16" s="23" t="n">
        <f aca="false">C15*Beneficios!$D$10/Beneficios!$D$11</f>
        <v>0.00361685214626391</v>
      </c>
      <c r="D16" s="23" t="n">
        <f aca="false">D15*Beneficios!$D$10/Beneficios!$D$11</f>
        <v>0.0217011128775835</v>
      </c>
      <c r="E16" s="23" t="n">
        <f aca="false">E15*Beneficios!$D$10/Beneficios!$D$11</f>
        <v>0.0542527821939587</v>
      </c>
      <c r="F16" s="23" t="n">
        <f aca="false">F15*Beneficios!$D$10/Beneficios!$D$11</f>
        <v>0.0795707472178061</v>
      </c>
      <c r="G16" s="23" t="n">
        <f aca="false">G15*Beneficios!$D$10/Beneficios!$D$11</f>
        <v>0.091</v>
      </c>
      <c r="H16" s="23" t="n">
        <f aca="false">H15*Beneficios!$D$10/Beneficios!$D$11</f>
        <v>0.091</v>
      </c>
      <c r="I16" s="23" t="n">
        <f aca="false">I15*Beneficios!$D$10/Beneficios!$D$11</f>
        <v>0.091</v>
      </c>
      <c r="J16" s="23" t="n">
        <f aca="false">J15*Beneficios!$D$10/Beneficios!$D$11</f>
        <v>0.091</v>
      </c>
      <c r="K16" s="23" t="n">
        <f aca="false">SUM(C16:J16)</f>
        <v>0.523141494435612</v>
      </c>
    </row>
    <row r="17" customFormat="false" ht="15" hidden="false" customHeight="false" outlineLevel="0" collapsed="false">
      <c r="A17" s="9" t="s">
        <v>270</v>
      </c>
      <c r="C17" s="23" t="n">
        <f aca="false">C15-C16</f>
        <v>0.0963831478537361</v>
      </c>
      <c r="D17" s="23" t="n">
        <f aca="false">D15-D16</f>
        <v>0.578298887122417</v>
      </c>
      <c r="E17" s="23" t="n">
        <f aca="false">E15-E16</f>
        <v>1.44574721780604</v>
      </c>
      <c r="F17" s="23" t="n">
        <f aca="false">F15-F16</f>
        <v>2.12042925278219</v>
      </c>
      <c r="G17" s="23" t="n">
        <f aca="false">G15-G16</f>
        <v>2.425</v>
      </c>
      <c r="H17" s="23" t="n">
        <f aca="false">H15-H16</f>
        <v>2.425</v>
      </c>
      <c r="I17" s="23" t="n">
        <f aca="false">I15-I16</f>
        <v>2.425</v>
      </c>
      <c r="J17" s="23" t="n">
        <f aca="false">J15-J16</f>
        <v>2.425</v>
      </c>
      <c r="K17" s="23" t="n">
        <f aca="false">SUM(C17:J17)</f>
        <v>13.9408585055644</v>
      </c>
    </row>
    <row r="18" customFormat="false" ht="15" hidden="false" customHeight="false" outlineLevel="0" collapsed="false">
      <c r="A18" s="9" t="s">
        <v>271</v>
      </c>
      <c r="C18" s="23" t="n">
        <f aca="false">-Inversión!$B$31</f>
        <v>-0.1</v>
      </c>
      <c r="D18" s="23" t="n">
        <f aca="false">-Inversión!$C$31</f>
        <v>-0.2</v>
      </c>
      <c r="E18" s="23" t="n">
        <f aca="false">-Inversión!$D$31</f>
        <v>-0.22</v>
      </c>
      <c r="F18" s="23" t="n">
        <f aca="false">-Inversión!$E$31</f>
        <v>-0.28</v>
      </c>
      <c r="G18" s="23" t="n">
        <f aca="false">Beneficios!$D$12/4</f>
        <v>-0.325</v>
      </c>
      <c r="H18" s="23" t="n">
        <f aca="false">Beneficios!$D$12/4</f>
        <v>-0.325</v>
      </c>
      <c r="I18" s="23" t="n">
        <f aca="false">Beneficios!$D$12/4</f>
        <v>-0.325</v>
      </c>
      <c r="J18" s="23" t="n">
        <f aca="false">Beneficios!$D$12/4</f>
        <v>-0.325</v>
      </c>
      <c r="K18" s="23" t="n">
        <f aca="false">SUM(C18:J18)</f>
        <v>-2.1</v>
      </c>
    </row>
    <row r="19" customFormat="false" ht="15" hidden="false" customHeight="false" outlineLevel="0" collapsed="false">
      <c r="A19" s="31" t="s">
        <v>272</v>
      </c>
      <c r="B19" s="32"/>
      <c r="C19" s="34" t="n">
        <f aca="false">C15+C18</f>
        <v>0</v>
      </c>
      <c r="D19" s="34" t="n">
        <f aca="false">D15+D18</f>
        <v>0.4</v>
      </c>
      <c r="E19" s="34" t="n">
        <f aca="false">E15+E18</f>
        <v>1.28</v>
      </c>
      <c r="F19" s="34" t="n">
        <f aca="false">F15+F18</f>
        <v>1.92</v>
      </c>
      <c r="G19" s="34" t="n">
        <f aca="false">G15+G18</f>
        <v>2.191</v>
      </c>
      <c r="H19" s="34" t="n">
        <f aca="false">H15+H18</f>
        <v>2.191</v>
      </c>
      <c r="I19" s="34" t="n">
        <f aca="false">I15+I18</f>
        <v>2.191</v>
      </c>
      <c r="J19" s="34" t="n">
        <f aca="false">J15+J18</f>
        <v>2.191</v>
      </c>
      <c r="K19" s="34" t="n">
        <f aca="false">SUM(C19:J19)</f>
        <v>12.364</v>
      </c>
    </row>
    <row r="20" customFormat="false" ht="15" hidden="false" customHeight="false" outlineLevel="0" collapsed="false">
      <c r="A20" s="9" t="s">
        <v>15</v>
      </c>
      <c r="C20" s="23" t="n">
        <f aca="false">-Inversión!$B$15</f>
        <v>-1.35</v>
      </c>
      <c r="D20" s="23" t="n">
        <f aca="false">-Inversión!$C$15</f>
        <v>-1.94</v>
      </c>
      <c r="E20" s="23" t="n">
        <f aca="false">-Inversión!$D$15</f>
        <v>-1.29</v>
      </c>
      <c r="F20" s="23" t="n">
        <f aca="false">-Inversión!$E$15</f>
        <v>-0.82</v>
      </c>
      <c r="G20" s="23" t="n">
        <f aca="false">0</f>
        <v>0</v>
      </c>
      <c r="H20" s="23" t="n">
        <f aca="false">0</f>
        <v>0</v>
      </c>
      <c r="I20" s="23" t="n">
        <f aca="false">0</f>
        <v>0</v>
      </c>
      <c r="J20" s="23" t="n">
        <f aca="false">0</f>
        <v>0</v>
      </c>
      <c r="K20" s="23" t="n">
        <f aca="false">SUM(C20:J20)</f>
        <v>-5.4</v>
      </c>
    </row>
    <row r="21" customFormat="false" ht="15" hidden="false" customHeight="false" outlineLevel="0" collapsed="false">
      <c r="A21" s="3" t="s">
        <v>273</v>
      </c>
      <c r="C21" s="30" t="n">
        <f aca="false">C19+C20</f>
        <v>-1.35</v>
      </c>
      <c r="D21" s="30" t="n">
        <f aca="false">D19+D20</f>
        <v>-1.54</v>
      </c>
      <c r="E21" s="30" t="n">
        <f aca="false">E19+E20</f>
        <v>-0.01</v>
      </c>
      <c r="F21" s="30" t="n">
        <f aca="false">F19+F20</f>
        <v>1.1</v>
      </c>
      <c r="G21" s="30" t="n">
        <f aca="false">G19+G20</f>
        <v>2.191</v>
      </c>
      <c r="H21" s="30" t="n">
        <f aca="false">H19+H20</f>
        <v>2.191</v>
      </c>
      <c r="I21" s="30" t="n">
        <f aca="false">I19+I20</f>
        <v>2.191</v>
      </c>
      <c r="J21" s="30" t="n">
        <f aca="false">J19+J20</f>
        <v>2.191</v>
      </c>
      <c r="K21" s="30" t="n">
        <f aca="false">SUM(C21:J21)</f>
        <v>6.964</v>
      </c>
    </row>
    <row r="22" customFormat="false" ht="15" hidden="false" customHeight="false" outlineLevel="0" collapsed="false">
      <c r="A22" s="3" t="s">
        <v>274</v>
      </c>
      <c r="C22" s="30" t="n">
        <f aca="false">C21</f>
        <v>-1.35</v>
      </c>
      <c r="D22" s="30" t="n">
        <f aca="false">C22+D21</f>
        <v>-2.89</v>
      </c>
      <c r="E22" s="30" t="n">
        <f aca="false">D22+E21</f>
        <v>-2.9</v>
      </c>
      <c r="F22" s="30" t="n">
        <f aca="false">E22+F21</f>
        <v>-1.8</v>
      </c>
      <c r="G22" s="30" t="n">
        <f aca="false">F22+G21</f>
        <v>0.391000000000001</v>
      </c>
      <c r="H22" s="30" t="n">
        <f aca="false">G22+H21</f>
        <v>2.582</v>
      </c>
      <c r="I22" s="30" t="n">
        <f aca="false">H22+I21</f>
        <v>4.773</v>
      </c>
      <c r="J22" s="30" t="n">
        <f aca="false">I22+J21</f>
        <v>6.964</v>
      </c>
    </row>
    <row r="23" customFormat="false" ht="15" hidden="false" customHeight="false" outlineLevel="0" collapsed="false">
      <c r="A23" s="3" t="s">
        <v>275</v>
      </c>
      <c r="C23" s="36" t="n">
        <f aca="false">(SUM($C19:C19)+SUM($C20:C20))/-SUM($C20:C20)</f>
        <v>-1</v>
      </c>
      <c r="D23" s="36" t="n">
        <f aca="false">(SUM($C19:D19)+SUM($C20:D20))/-SUM($C20:D20)</f>
        <v>-0.878419452887538</v>
      </c>
      <c r="E23" s="36" t="n">
        <f aca="false">(SUM($C19:E19)+SUM($C20:E20))/-SUM($C20:E20)</f>
        <v>-0.633187772925764</v>
      </c>
      <c r="F23" s="36" t="n">
        <f aca="false">(SUM($C19:F19)+SUM($C20:F20))/-SUM($C20:F20)</f>
        <v>-0.333333333333333</v>
      </c>
      <c r="G23" s="36" t="n">
        <f aca="false">(SUM($C19:G19)+SUM($C20:G20))/-SUM($C20:G20)</f>
        <v>0.0724074074074074</v>
      </c>
      <c r="H23" s="36" t="n">
        <f aca="false">(SUM($C19:H19)+SUM($C20:H20))/-SUM($C20:H20)</f>
        <v>0.478148148148148</v>
      </c>
      <c r="I23" s="36" t="n">
        <f aca="false">(SUM($C19:I19)+SUM($C20:I20))/-SUM($C20:I20)</f>
        <v>0.883888888888889</v>
      </c>
      <c r="J23" s="36" t="n">
        <f aca="false">(SUM($C19:J19)+SUM($C20:J20))/-SUM($C20:J20)</f>
        <v>1.28962962962963</v>
      </c>
    </row>
    <row r="24" customFormat="false" ht="15" hidden="false" customHeight="false" outlineLevel="0" collapsed="false">
      <c r="A24" s="3" t="s">
        <v>276</v>
      </c>
      <c r="B24" s="26" t="n">
        <f aca="false">'Línea base'!$B$26</f>
        <v>47.2793629727936</v>
      </c>
      <c r="C24" s="26" t="n">
        <f aca="false">(Supuestos!$B$13/4-C17-C18)*10^6/(Supuestos!$B$12/4)</f>
        <v>47.2913631458071</v>
      </c>
      <c r="D24" s="26" t="n">
        <f aca="false">(Supuestos!$B$13/4-D17-D18)*10^6/(Supuestos!$B$12/4)</f>
        <v>46.0242239976031</v>
      </c>
      <c r="E24" s="26" t="n">
        <f aca="false">(Supuestos!$B$13/4-E17-E18)*10^6/(Supuestos!$B$12/4)</f>
        <v>43.2125175255274</v>
      </c>
      <c r="F24" s="26" t="n">
        <f aca="false">(Supuestos!$B$13/4-F17-F18)*10^6/(Supuestos!$B$12/4)</f>
        <v>41.1730947153875</v>
      </c>
      <c r="G24" s="26" t="n">
        <f aca="false">(Supuestos!$B$13/4-G17-G18)*10^6/(Supuestos!$B$12/4)</f>
        <v>40.3118779031188</v>
      </c>
      <c r="H24" s="26" t="n">
        <f aca="false">(Supuestos!$B$13/4-H17-H18)*10^6/(Supuestos!$B$12/4)</f>
        <v>40.3118779031188</v>
      </c>
      <c r="I24" s="26" t="n">
        <f aca="false">(Supuestos!$B$13/4-I17-I18)*10^6/(Supuestos!$B$12/4)</f>
        <v>40.3118779031188</v>
      </c>
      <c r="J24" s="26" t="n">
        <f aca="false">(Supuestos!$B$13/4-J17-J18)*10^6/(Supuestos!$B$12/4)</f>
        <v>40.3118779031188</v>
      </c>
    </row>
    <row r="26" customFormat="false" ht="15" hidden="false" customHeight="false" outlineLevel="0" collapsed="false">
      <c r="A26" s="7" t="s">
        <v>277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customFormat="false" ht="15" hidden="false" customHeight="false" outlineLevel="0" collapsed="false">
      <c r="A27" s="9" t="s">
        <v>278</v>
      </c>
      <c r="B27" s="9" t="str">
        <f aca="false">INDEX($C$3:$J$3,MATCH(TRUE(),INDEX(C17:J17&gt;0,0),0))</f>
        <v>Q1 2027</v>
      </c>
    </row>
    <row r="28" customFormat="false" ht="15" hidden="false" customHeight="false" outlineLevel="0" collapsed="false">
      <c r="A28" s="9" t="s">
        <v>279</v>
      </c>
      <c r="B28" s="9" t="str">
        <f aca="false">INDEX($C$3:$J$3,MATCH(TRUE(),INDEX(C16:J16&gt;=0.01,0),0))</f>
        <v>Q2 2027</v>
      </c>
    </row>
    <row r="29" customFormat="false" ht="15" hidden="false" customHeight="false" outlineLevel="0" collapsed="false">
      <c r="A29" s="9" t="s">
        <v>280</v>
      </c>
      <c r="B29" s="9" t="str">
        <f aca="false">INDEX($C$3:$J$3,MATCH(TRUE(),INDEX(C19:J19&gt;0.005,0),0))</f>
        <v>Q2 2027</v>
      </c>
    </row>
    <row r="30" customFormat="false" ht="15" hidden="false" customHeight="false" outlineLevel="0" collapsed="false">
      <c r="A30" s="9" t="s">
        <v>281</v>
      </c>
      <c r="B30" s="9" t="str">
        <f aca="false">INDEX($C$3:$J$3,MATCH(TRUE(),INDEX(C21:J21&gt;0,0),0))</f>
        <v>Q4 2027</v>
      </c>
    </row>
    <row r="31" customFormat="false" ht="15" hidden="false" customHeight="false" outlineLevel="0" collapsed="false">
      <c r="A31" s="9" t="s">
        <v>282</v>
      </c>
      <c r="B31" s="9" t="str">
        <f aca="false">INDEX($C$3:$J$3,MATCH(TRUE(),INDEX(C22:J22&gt;=0,0),0))</f>
        <v>Q1 2028</v>
      </c>
    </row>
    <row r="32" customFormat="false" ht="15" hidden="false" customHeight="false" outlineLevel="0" collapsed="false">
      <c r="A32" s="9" t="s">
        <v>283</v>
      </c>
      <c r="B32" s="9" t="str">
        <f aca="false">INDEX($C$3:$J$3,MATCH(TRUE(),INDEX(C23:J23&gt;1,0),0))</f>
        <v>Q4 2028</v>
      </c>
    </row>
    <row r="33" customFormat="false" ht="15" hidden="false" customHeight="false" outlineLevel="0" collapsed="false">
      <c r="A33" s="9" t="s">
        <v>284</v>
      </c>
      <c r="B33" s="21" t="n">
        <f aca="false">1-J14/B14</f>
        <v>0.292056074766355</v>
      </c>
    </row>
    <row r="34" customFormat="false" ht="15" hidden="false" customHeight="false" outlineLevel="0" collapsed="false">
      <c r="A34" s="9" t="s">
        <v>285</v>
      </c>
      <c r="B34" s="12" t="n">
        <f aca="false">B8-J8</f>
        <v>175.070028011205</v>
      </c>
    </row>
    <row r="36" customFormat="false" ht="15" hidden="false" customHeight="false" outlineLevel="0" collapsed="false">
      <c r="A36" s="7" t="s">
        <v>286</v>
      </c>
      <c r="B36" s="8"/>
      <c r="C36" s="8"/>
      <c r="D36" s="8"/>
      <c r="E36" s="8"/>
      <c r="F36" s="8"/>
      <c r="G36" s="8"/>
      <c r="H36" s="8"/>
      <c r="I36" s="8"/>
      <c r="J36" s="8"/>
      <c r="K36" s="8"/>
    </row>
    <row r="37" customFormat="false" ht="15" hidden="false" customHeight="false" outlineLevel="0" collapsed="false">
      <c r="A37" s="9" t="s">
        <v>287</v>
      </c>
    </row>
    <row r="38" customFormat="false" ht="15" hidden="false" customHeight="false" outlineLevel="0" collapsed="false">
      <c r="A38" s="9" t="s">
        <v>288</v>
      </c>
    </row>
    <row r="39" customFormat="false" ht="15" hidden="false" customHeight="false" outlineLevel="0" collapsed="false">
      <c r="A39" s="9" t="s">
        <v>289</v>
      </c>
    </row>
    <row r="40" customFormat="false" ht="15" hidden="false" customHeight="false" outlineLevel="0" collapsed="false">
      <c r="A40" s="9" t="s">
        <v>290</v>
      </c>
    </row>
    <row r="41" customFormat="false" ht="15" hidden="false" customHeight="false" outlineLevel="0" collapsed="false">
      <c r="A41" s="9" t="s">
        <v>291</v>
      </c>
    </row>
    <row r="42" customFormat="false" ht="15" hidden="false" customHeight="false" outlineLevel="0" collapsed="false">
      <c r="A42" s="9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21" min="4" style="0" width="11"/>
  </cols>
  <sheetData>
    <row r="1" customFormat="false" ht="17.35" hidden="false" customHeight="false" outlineLevel="0" collapsed="false">
      <c r="A1" s="1" t="s">
        <v>293</v>
      </c>
    </row>
    <row r="2" customFormat="false" ht="15" hidden="false" customHeight="false" outlineLevel="0" collapsed="false">
      <c r="A2" s="2" t="s">
        <v>294</v>
      </c>
    </row>
    <row r="4" customFormat="false" ht="15" hidden="false" customHeight="false" outlineLevel="0" collapsed="false">
      <c r="A4" s="5" t="s">
        <v>213</v>
      </c>
      <c r="B4" s="6" t="s">
        <v>295</v>
      </c>
      <c r="C4" s="6" t="s">
        <v>296</v>
      </c>
      <c r="D4" s="6" t="s">
        <v>297</v>
      </c>
      <c r="E4" s="6" t="s">
        <v>298</v>
      </c>
      <c r="F4" s="6" t="s">
        <v>299</v>
      </c>
      <c r="G4" s="6" t="s">
        <v>300</v>
      </c>
    </row>
    <row r="5" customFormat="false" ht="15" hidden="false" customHeight="false" outlineLevel="0" collapsed="false">
      <c r="A5" s="9" t="s">
        <v>301</v>
      </c>
      <c r="B5" s="23" t="n">
        <f aca="false">SUM('Flujo y ROI'!C15:F15)</f>
        <v>4.4</v>
      </c>
      <c r="C5" s="23" t="n">
        <f aca="false">ROUND(Beneficios!$D$11,2)</f>
        <v>10.06</v>
      </c>
      <c r="D5" s="23" t="n">
        <f aca="false">ROUND(C5*(1+Supuestos!$B$43),2)</f>
        <v>10.26</v>
      </c>
      <c r="E5" s="23" t="n">
        <f aca="false">ROUND(D5*(1+Supuestos!$B$43),2)</f>
        <v>10.47</v>
      </c>
      <c r="F5" s="23" t="n">
        <f aca="false">ROUND(E5*(1+Supuestos!$B$43),2)</f>
        <v>10.68</v>
      </c>
      <c r="G5" s="23" t="n">
        <f aca="false">SUM(B5:F5)</f>
        <v>45.87</v>
      </c>
    </row>
    <row r="6" customFormat="false" ht="15" hidden="false" customHeight="false" outlineLevel="0" collapsed="false">
      <c r="A6" s="9" t="s">
        <v>201</v>
      </c>
      <c r="B6" s="23" t="n">
        <f aca="false">SUM('Flujo y ROI'!C18:F18)</f>
        <v>-0.8</v>
      </c>
      <c r="C6" s="23" t="n">
        <f aca="false">Beneficios!$D$12</f>
        <v>-1.3</v>
      </c>
      <c r="D6" s="23" t="n">
        <f aca="false">-Supuestos!$B$46</f>
        <v>-1.36</v>
      </c>
      <c r="E6" s="23" t="n">
        <f aca="false">-Supuestos!$B$47</f>
        <v>-1.37</v>
      </c>
      <c r="F6" s="23" t="n">
        <f aca="false">-Supuestos!$B$48</f>
        <v>-1.48</v>
      </c>
      <c r="G6" s="23" t="n">
        <f aca="false">SUM(B6:F6)</f>
        <v>-6.31</v>
      </c>
    </row>
    <row r="7" customFormat="false" ht="15" hidden="false" customHeight="false" outlineLevel="0" collapsed="false">
      <c r="A7" s="9" t="s">
        <v>302</v>
      </c>
      <c r="B7" s="23" t="n">
        <f aca="false">-Inversión!$F$15</f>
        <v>-5.4</v>
      </c>
      <c r="C7" s="23" t="n">
        <f aca="false">0</f>
        <v>0</v>
      </c>
      <c r="D7" s="23" t="n">
        <f aca="false">0</f>
        <v>0</v>
      </c>
      <c r="E7" s="23" t="n">
        <f aca="false">0</f>
        <v>0</v>
      </c>
      <c r="F7" s="23" t="n">
        <f aca="false">0</f>
        <v>0</v>
      </c>
      <c r="G7" s="23" t="n">
        <f aca="false">SUM(B7:F7)</f>
        <v>-5.4</v>
      </c>
    </row>
    <row r="8" customFormat="false" ht="15" hidden="false" customHeight="false" outlineLevel="0" collapsed="false">
      <c r="A8" s="9" t="s">
        <v>303</v>
      </c>
      <c r="B8" s="23" t="n">
        <f aca="false">0</f>
        <v>0</v>
      </c>
      <c r="C8" s="23" t="n">
        <f aca="false">0</f>
        <v>0</v>
      </c>
      <c r="D8" s="23" t="n">
        <f aca="false">-Supuestos!$B$49</f>
        <v>-0.3</v>
      </c>
      <c r="E8" s="23" t="n">
        <f aca="false">-Supuestos!$B$50</f>
        <v>-0.3</v>
      </c>
      <c r="F8" s="23" t="n">
        <f aca="false">-Supuestos!$B$51</f>
        <v>-0.1</v>
      </c>
      <c r="G8" s="23" t="n">
        <f aca="false">SUM(B8:F8)</f>
        <v>-0.7</v>
      </c>
    </row>
    <row r="9" customFormat="false" ht="15" hidden="false" customHeight="false" outlineLevel="0" collapsed="false">
      <c r="A9" s="31" t="s">
        <v>304</v>
      </c>
      <c r="B9" s="34" t="n">
        <f aca="false">SUM(B5:B8)</f>
        <v>-1.8</v>
      </c>
      <c r="C9" s="34" t="n">
        <f aca="false">SUM(C5:C8)</f>
        <v>8.76</v>
      </c>
      <c r="D9" s="34" t="n">
        <f aca="false">SUM(D5:D8)</f>
        <v>8.6</v>
      </c>
      <c r="E9" s="34" t="n">
        <f aca="false">SUM(E5:E8)</f>
        <v>8.8</v>
      </c>
      <c r="F9" s="34" t="n">
        <f aca="false">SUM(F5:F8)</f>
        <v>9.1</v>
      </c>
      <c r="G9" s="34" t="n">
        <f aca="false">SUM(B9:F9)</f>
        <v>33.46</v>
      </c>
    </row>
    <row r="10" customFormat="false" ht="15" hidden="false" customHeight="false" outlineLevel="0" collapsed="false">
      <c r="A10" s="3" t="s">
        <v>305</v>
      </c>
      <c r="B10" s="30" t="n">
        <f aca="false">B9</f>
        <v>-1.8</v>
      </c>
      <c r="C10" s="30" t="n">
        <f aca="false">B10+C9</f>
        <v>6.96</v>
      </c>
      <c r="D10" s="30" t="n">
        <f aca="false">C10+D9</f>
        <v>15.56</v>
      </c>
      <c r="E10" s="30" t="n">
        <f aca="false">D10+E9</f>
        <v>24.36</v>
      </c>
      <c r="F10" s="30" t="n">
        <f aca="false">E10+F9</f>
        <v>33.46</v>
      </c>
    </row>
    <row r="12" customFormat="false" ht="15" hidden="false" customHeight="false" outlineLevel="0" collapsed="false">
      <c r="A12" s="7" t="s">
        <v>306</v>
      </c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9" t="s">
        <v>307</v>
      </c>
      <c r="B13" s="23" t="n">
        <f aca="false">B5+B6</f>
        <v>3.6</v>
      </c>
      <c r="C13" s="23" t="n">
        <f aca="false">C5+C6</f>
        <v>8.76</v>
      </c>
      <c r="D13" s="23" t="n">
        <f aca="false">D5+D6</f>
        <v>8.9</v>
      </c>
      <c r="E13" s="23" t="n">
        <f aca="false">E5+E6</f>
        <v>9.1</v>
      </c>
      <c r="F13" s="23" t="n">
        <f aca="false">F5+F6</f>
        <v>9.2</v>
      </c>
      <c r="G13" s="23" t="n">
        <f aca="false">SUM(B13:F13)</f>
        <v>39.56</v>
      </c>
    </row>
    <row r="14" customFormat="false" ht="15" hidden="false" customHeight="false" outlineLevel="0" collapsed="false">
      <c r="A14" s="9" t="s">
        <v>308</v>
      </c>
      <c r="B14" s="23" t="n">
        <f aca="false">(-B7-B8)/Supuestos!$B$45</f>
        <v>1.8</v>
      </c>
      <c r="C14" s="23" t="n">
        <f aca="false">(-B7-B8)/Supuestos!$B$45+(-C7-C8)/Supuestos!$B$45</f>
        <v>1.8</v>
      </c>
      <c r="D14" s="23" t="n">
        <f aca="false">(-B7-B8)/Supuestos!$B$45+(-C7-C8)/Supuestos!$B$45+(-D7-D8)/Supuestos!$B$45</f>
        <v>1.9</v>
      </c>
      <c r="E14" s="23" t="n">
        <f aca="false">(-C7-C8)/Supuestos!$B$45+(-D7-D8)/Supuestos!$B$45+(-E7-E8)/Supuestos!$B$45</f>
        <v>0.2</v>
      </c>
      <c r="F14" s="23" t="n">
        <f aca="false">(-D7-D8)/Supuestos!$B$45+(-E7-E8)/Supuestos!$B$45+(-F7-F8)/Supuestos!$B$45</f>
        <v>0.233333333333333</v>
      </c>
      <c r="G14" s="23" t="n">
        <f aca="false">SUM(B14:F14)</f>
        <v>5.93333333333333</v>
      </c>
    </row>
    <row r="15" customFormat="false" ht="15" hidden="false" customHeight="false" outlineLevel="0" collapsed="false">
      <c r="A15" s="9" t="s">
        <v>309</v>
      </c>
      <c r="B15" s="23" t="n">
        <f aca="false">B13-B14</f>
        <v>1.8</v>
      </c>
      <c r="C15" s="23" t="n">
        <f aca="false">C13-C14</f>
        <v>6.96</v>
      </c>
      <c r="D15" s="23" t="n">
        <f aca="false">D13-D14</f>
        <v>7</v>
      </c>
      <c r="E15" s="23" t="n">
        <f aca="false">E13-E14</f>
        <v>8.9</v>
      </c>
      <c r="F15" s="23" t="n">
        <f aca="false">F13-F14</f>
        <v>8.96666666666667</v>
      </c>
      <c r="G15" s="23" t="n">
        <f aca="false">SUM(B15:F15)</f>
        <v>33.6266666666667</v>
      </c>
    </row>
    <row r="16" customFormat="false" ht="15" hidden="false" customHeight="false" outlineLevel="0" collapsed="false">
      <c r="A16" s="9" t="s">
        <v>123</v>
      </c>
      <c r="B16" s="23" t="n">
        <f aca="false">-MAX(0,B15)*Supuestos!$B$44</f>
        <v>-0.63</v>
      </c>
      <c r="C16" s="23" t="n">
        <f aca="false">-MAX(0,C15)*Supuestos!$B$44</f>
        <v>-2.436</v>
      </c>
      <c r="D16" s="23" t="n">
        <f aca="false">-MAX(0,D15)*Supuestos!$B$44</f>
        <v>-2.45</v>
      </c>
      <c r="E16" s="23" t="n">
        <f aca="false">-MAX(0,E15)*Supuestos!$B$44</f>
        <v>-3.115</v>
      </c>
      <c r="F16" s="23" t="n">
        <f aca="false">-MAX(0,F15)*Supuestos!$B$44</f>
        <v>-3.13833333333333</v>
      </c>
      <c r="G16" s="23" t="n">
        <f aca="false">SUM(B16:F16)</f>
        <v>-11.7693333333333</v>
      </c>
    </row>
    <row r="17" customFormat="false" ht="15" hidden="false" customHeight="false" outlineLevel="0" collapsed="false">
      <c r="A17" s="31" t="s">
        <v>310</v>
      </c>
      <c r="B17" s="34" t="n">
        <f aca="false">B9+B16</f>
        <v>-2.43</v>
      </c>
      <c r="C17" s="34" t="n">
        <f aca="false">C9+C16</f>
        <v>6.324</v>
      </c>
      <c r="D17" s="34" t="n">
        <f aca="false">D9+D16</f>
        <v>6.15</v>
      </c>
      <c r="E17" s="34" t="n">
        <f aca="false">E9+E16</f>
        <v>5.685</v>
      </c>
      <c r="F17" s="34" t="n">
        <f aca="false">F9+F16</f>
        <v>5.96166666666667</v>
      </c>
      <c r="G17" s="34" t="n">
        <f aca="false">SUM(B17:F17)</f>
        <v>21.6906666666667</v>
      </c>
    </row>
    <row r="19" customFormat="false" ht="15" hidden="false" customHeight="false" outlineLevel="0" collapsed="false">
      <c r="A19" s="7" t="s">
        <v>311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customFormat="false" ht="15" hidden="false" customHeight="false" outlineLevel="0" collapsed="false">
      <c r="A20" s="5" t="s">
        <v>312</v>
      </c>
      <c r="B20" s="6" t="s">
        <v>214</v>
      </c>
      <c r="C20" s="6" t="s">
        <v>215</v>
      </c>
      <c r="D20" s="6" t="s">
        <v>216</v>
      </c>
      <c r="E20" s="6" t="s">
        <v>217</v>
      </c>
      <c r="F20" s="6" t="s">
        <v>218</v>
      </c>
      <c r="G20" s="6" t="s">
        <v>219</v>
      </c>
      <c r="H20" s="6" t="s">
        <v>220</v>
      </c>
      <c r="I20" s="6" t="s">
        <v>221</v>
      </c>
      <c r="J20" s="6" t="s">
        <v>313</v>
      </c>
      <c r="K20" s="6" t="s">
        <v>314</v>
      </c>
      <c r="L20" s="6" t="s">
        <v>315</v>
      </c>
      <c r="M20" s="6" t="s">
        <v>316</v>
      </c>
      <c r="N20" s="6" t="s">
        <v>317</v>
      </c>
      <c r="O20" s="6" t="s">
        <v>318</v>
      </c>
      <c r="P20" s="6" t="s">
        <v>319</v>
      </c>
      <c r="Q20" s="6" t="s">
        <v>320</v>
      </c>
      <c r="R20" s="6" t="s">
        <v>321</v>
      </c>
      <c r="S20" s="6" t="s">
        <v>322</v>
      </c>
      <c r="T20" s="6" t="s">
        <v>323</v>
      </c>
      <c r="U20" s="6" t="s">
        <v>324</v>
      </c>
    </row>
    <row r="21" customFormat="false" ht="15" hidden="false" customHeight="false" outlineLevel="0" collapsed="false">
      <c r="A21" s="9" t="s">
        <v>325</v>
      </c>
      <c r="B21" s="23" t="n">
        <f aca="false">(0+0.5)/4</f>
        <v>0.125</v>
      </c>
      <c r="C21" s="23" t="n">
        <f aca="false">(1+0.5)/4</f>
        <v>0.375</v>
      </c>
      <c r="D21" s="23" t="n">
        <f aca="false">(2+0.5)/4</f>
        <v>0.625</v>
      </c>
      <c r="E21" s="23" t="n">
        <f aca="false">(3+0.5)/4</f>
        <v>0.875</v>
      </c>
      <c r="F21" s="23" t="n">
        <f aca="false">(4+0.5)/4</f>
        <v>1.125</v>
      </c>
      <c r="G21" s="23" t="n">
        <f aca="false">(5+0.5)/4</f>
        <v>1.375</v>
      </c>
      <c r="H21" s="23" t="n">
        <f aca="false">(6+0.5)/4</f>
        <v>1.625</v>
      </c>
      <c r="I21" s="23" t="n">
        <f aca="false">(7+0.5)/4</f>
        <v>1.875</v>
      </c>
      <c r="J21" s="23" t="n">
        <f aca="false">(8+0.5)/4</f>
        <v>2.125</v>
      </c>
      <c r="K21" s="23" t="n">
        <f aca="false">(9+0.5)/4</f>
        <v>2.375</v>
      </c>
      <c r="L21" s="23" t="n">
        <f aca="false">(10+0.5)/4</f>
        <v>2.625</v>
      </c>
      <c r="M21" s="23" t="n">
        <f aca="false">(11+0.5)/4</f>
        <v>2.875</v>
      </c>
      <c r="N21" s="23" t="n">
        <f aca="false">(12+0.5)/4</f>
        <v>3.125</v>
      </c>
      <c r="O21" s="23" t="n">
        <f aca="false">(13+0.5)/4</f>
        <v>3.375</v>
      </c>
      <c r="P21" s="23" t="n">
        <f aca="false">(14+0.5)/4</f>
        <v>3.625</v>
      </c>
      <c r="Q21" s="23" t="n">
        <f aca="false">(15+0.5)/4</f>
        <v>3.875</v>
      </c>
      <c r="R21" s="23" t="n">
        <f aca="false">(16+0.5)/4</f>
        <v>4.125</v>
      </c>
      <c r="S21" s="23" t="n">
        <f aca="false">(17+0.5)/4</f>
        <v>4.375</v>
      </c>
      <c r="T21" s="23" t="n">
        <f aca="false">(18+0.5)/4</f>
        <v>4.625</v>
      </c>
      <c r="U21" s="23" t="n">
        <f aca="false">(19+0.5)/4</f>
        <v>4.875</v>
      </c>
    </row>
    <row r="22" customFormat="false" ht="15" hidden="false" customHeight="false" outlineLevel="0" collapsed="false">
      <c r="A22" s="9" t="s">
        <v>301</v>
      </c>
      <c r="B22" s="23" t="n">
        <f aca="false">Beneficios!$B$27</f>
        <v>0.1</v>
      </c>
      <c r="C22" s="23" t="n">
        <f aca="false">Beneficios!$C$27</f>
        <v>0.6</v>
      </c>
      <c r="D22" s="23" t="n">
        <f aca="false">Beneficios!$D$27</f>
        <v>1.5</v>
      </c>
      <c r="E22" s="23" t="n">
        <f aca="false">Beneficios!$E$27</f>
        <v>2.2</v>
      </c>
      <c r="F22" s="23" t="n">
        <f aca="false">C$5/4</f>
        <v>2.515</v>
      </c>
      <c r="G22" s="23" t="n">
        <f aca="false">C$5/4</f>
        <v>2.515</v>
      </c>
      <c r="H22" s="23" t="n">
        <f aca="false">C$5/4</f>
        <v>2.515</v>
      </c>
      <c r="I22" s="23" t="n">
        <f aca="false">C$5/4</f>
        <v>2.515</v>
      </c>
      <c r="J22" s="23" t="n">
        <f aca="false">D$5/4</f>
        <v>2.565</v>
      </c>
      <c r="K22" s="23" t="n">
        <f aca="false">D$5/4</f>
        <v>2.565</v>
      </c>
      <c r="L22" s="23" t="n">
        <f aca="false">D$5/4</f>
        <v>2.565</v>
      </c>
      <c r="M22" s="23" t="n">
        <f aca="false">D$5/4</f>
        <v>2.565</v>
      </c>
      <c r="N22" s="23" t="n">
        <f aca="false">E$5/4</f>
        <v>2.6175</v>
      </c>
      <c r="O22" s="23" t="n">
        <f aca="false">E$5/4</f>
        <v>2.6175</v>
      </c>
      <c r="P22" s="23" t="n">
        <f aca="false">E$5/4</f>
        <v>2.6175</v>
      </c>
      <c r="Q22" s="23" t="n">
        <f aca="false">E$5/4</f>
        <v>2.6175</v>
      </c>
      <c r="R22" s="23" t="n">
        <f aca="false">F$5/4</f>
        <v>2.67</v>
      </c>
      <c r="S22" s="23" t="n">
        <f aca="false">F$5/4</f>
        <v>2.67</v>
      </c>
      <c r="T22" s="23" t="n">
        <f aca="false">F$5/4</f>
        <v>2.67</v>
      </c>
      <c r="U22" s="23" t="n">
        <f aca="false">F$5/4</f>
        <v>2.67</v>
      </c>
    </row>
    <row r="23" customFormat="false" ht="15" hidden="false" customHeight="false" outlineLevel="0" collapsed="false">
      <c r="A23" s="9" t="s">
        <v>271</v>
      </c>
      <c r="B23" s="23" t="n">
        <f aca="false">-Inversión!$B$31</f>
        <v>-0.1</v>
      </c>
      <c r="C23" s="23" t="n">
        <f aca="false">-Inversión!$C$31</f>
        <v>-0.2</v>
      </c>
      <c r="D23" s="23" t="n">
        <f aca="false">-Inversión!$D$31</f>
        <v>-0.22</v>
      </c>
      <c r="E23" s="23" t="n">
        <f aca="false">-Inversión!$E$31</f>
        <v>-0.28</v>
      </c>
      <c r="F23" s="23" t="n">
        <f aca="false">C$6/4</f>
        <v>-0.325</v>
      </c>
      <c r="G23" s="23" t="n">
        <f aca="false">C$6/4</f>
        <v>-0.325</v>
      </c>
      <c r="H23" s="23" t="n">
        <f aca="false">C$6/4</f>
        <v>-0.325</v>
      </c>
      <c r="I23" s="23" t="n">
        <f aca="false">C$6/4</f>
        <v>-0.325</v>
      </c>
      <c r="J23" s="23" t="n">
        <f aca="false">D$6/4</f>
        <v>-0.34</v>
      </c>
      <c r="K23" s="23" t="n">
        <f aca="false">D$6/4</f>
        <v>-0.34</v>
      </c>
      <c r="L23" s="23" t="n">
        <f aca="false">D$6/4</f>
        <v>-0.34</v>
      </c>
      <c r="M23" s="23" t="n">
        <f aca="false">D$6/4</f>
        <v>-0.34</v>
      </c>
      <c r="N23" s="23" t="n">
        <f aca="false">E$6/4</f>
        <v>-0.3425</v>
      </c>
      <c r="O23" s="23" t="n">
        <f aca="false">E$6/4</f>
        <v>-0.3425</v>
      </c>
      <c r="P23" s="23" t="n">
        <f aca="false">E$6/4</f>
        <v>-0.3425</v>
      </c>
      <c r="Q23" s="23" t="n">
        <f aca="false">E$6/4</f>
        <v>-0.3425</v>
      </c>
      <c r="R23" s="23" t="n">
        <f aca="false">F$6/4</f>
        <v>-0.37</v>
      </c>
      <c r="S23" s="23" t="n">
        <f aca="false">F$6/4</f>
        <v>-0.37</v>
      </c>
      <c r="T23" s="23" t="n">
        <f aca="false">F$6/4</f>
        <v>-0.37</v>
      </c>
      <c r="U23" s="23" t="n">
        <f aca="false">F$6/4</f>
        <v>-0.37</v>
      </c>
    </row>
    <row r="24" customFormat="false" ht="15" hidden="false" customHeight="false" outlineLevel="0" collapsed="false">
      <c r="A24" s="9" t="s">
        <v>326</v>
      </c>
      <c r="B24" s="23" t="n">
        <f aca="false">-Inversión!$B$15</f>
        <v>-1.35</v>
      </c>
      <c r="C24" s="23" t="n">
        <f aca="false">-Inversión!$C$15</f>
        <v>-1.94</v>
      </c>
      <c r="D24" s="23" t="n">
        <f aca="false">-Inversión!$D$15</f>
        <v>-1.29</v>
      </c>
      <c r="E24" s="23" t="n">
        <f aca="false">-Inversión!$E$15</f>
        <v>-0.82</v>
      </c>
      <c r="F24" s="23" t="n">
        <f aca="false">C$8/4</f>
        <v>0</v>
      </c>
      <c r="G24" s="23" t="n">
        <f aca="false">C$8/4</f>
        <v>0</v>
      </c>
      <c r="H24" s="23" t="n">
        <f aca="false">C$8/4</f>
        <v>0</v>
      </c>
      <c r="I24" s="23" t="n">
        <f aca="false">C$8/4</f>
        <v>0</v>
      </c>
      <c r="J24" s="23" t="n">
        <f aca="false">D$8/4</f>
        <v>-0.075</v>
      </c>
      <c r="K24" s="23" t="n">
        <f aca="false">D$8/4</f>
        <v>-0.075</v>
      </c>
      <c r="L24" s="23" t="n">
        <f aca="false">D$8/4</f>
        <v>-0.075</v>
      </c>
      <c r="M24" s="23" t="n">
        <f aca="false">D$8/4</f>
        <v>-0.075</v>
      </c>
      <c r="N24" s="23" t="n">
        <f aca="false">E$8/4</f>
        <v>-0.075</v>
      </c>
      <c r="O24" s="23" t="n">
        <f aca="false">E$8/4</f>
        <v>-0.075</v>
      </c>
      <c r="P24" s="23" t="n">
        <f aca="false">E$8/4</f>
        <v>-0.075</v>
      </c>
      <c r="Q24" s="23" t="n">
        <f aca="false">E$8/4</f>
        <v>-0.075</v>
      </c>
      <c r="R24" s="23" t="n">
        <f aca="false">F$8/4</f>
        <v>-0.025</v>
      </c>
      <c r="S24" s="23" t="n">
        <f aca="false">F$8/4</f>
        <v>-0.025</v>
      </c>
      <c r="T24" s="23" t="n">
        <f aca="false">F$8/4</f>
        <v>-0.025</v>
      </c>
      <c r="U24" s="23" t="n">
        <f aca="false">F$8/4</f>
        <v>-0.025</v>
      </c>
    </row>
    <row r="25" customFormat="false" ht="15" hidden="false" customHeight="false" outlineLevel="0" collapsed="false">
      <c r="A25" s="3" t="s">
        <v>304</v>
      </c>
      <c r="B25" s="30" t="n">
        <f aca="false">B22+B23+B24</f>
        <v>-1.35</v>
      </c>
      <c r="C25" s="30" t="n">
        <f aca="false">C22+C23+C24</f>
        <v>-1.54</v>
      </c>
      <c r="D25" s="30" t="n">
        <f aca="false">D22+D23+D24</f>
        <v>-0.01</v>
      </c>
      <c r="E25" s="30" t="n">
        <f aca="false">E22+E23+E24</f>
        <v>1.1</v>
      </c>
      <c r="F25" s="30" t="n">
        <f aca="false">F22+F23+F24</f>
        <v>2.19</v>
      </c>
      <c r="G25" s="30" t="n">
        <f aca="false">G22+G23+G24</f>
        <v>2.19</v>
      </c>
      <c r="H25" s="30" t="n">
        <f aca="false">H22+H23+H24</f>
        <v>2.19</v>
      </c>
      <c r="I25" s="30" t="n">
        <f aca="false">I22+I23+I24</f>
        <v>2.19</v>
      </c>
      <c r="J25" s="30" t="n">
        <f aca="false">J22+J23+J24</f>
        <v>2.15</v>
      </c>
      <c r="K25" s="30" t="n">
        <f aca="false">K22+K23+K24</f>
        <v>2.15</v>
      </c>
      <c r="L25" s="30" t="n">
        <f aca="false">L22+L23+L24</f>
        <v>2.15</v>
      </c>
      <c r="M25" s="30" t="n">
        <f aca="false">M22+M23+M24</f>
        <v>2.15</v>
      </c>
      <c r="N25" s="30" t="n">
        <f aca="false">N22+N23+N24</f>
        <v>2.2</v>
      </c>
      <c r="O25" s="30" t="n">
        <f aca="false">O22+O23+O24</f>
        <v>2.2</v>
      </c>
      <c r="P25" s="30" t="n">
        <f aca="false">P22+P23+P24</f>
        <v>2.2</v>
      </c>
      <c r="Q25" s="30" t="n">
        <f aca="false">Q22+Q23+Q24</f>
        <v>2.2</v>
      </c>
      <c r="R25" s="30" t="n">
        <f aca="false">R22+R23+R24</f>
        <v>2.275</v>
      </c>
      <c r="S25" s="30" t="n">
        <f aca="false">S22+S23+S24</f>
        <v>2.275</v>
      </c>
      <c r="T25" s="30" t="n">
        <f aca="false">T22+T23+T24</f>
        <v>2.275</v>
      </c>
      <c r="U25" s="30" t="n">
        <f aca="false">U22+U23+U24</f>
        <v>2.275</v>
      </c>
    </row>
    <row r="26" customFormat="false" ht="15" hidden="false" customHeight="false" outlineLevel="0" collapsed="false">
      <c r="A26" s="3" t="s">
        <v>310</v>
      </c>
      <c r="B26" s="30" t="n">
        <f aca="false">B25+B$16/4</f>
        <v>-1.5075</v>
      </c>
      <c r="C26" s="30" t="n">
        <f aca="false">C25+B$16/4</f>
        <v>-1.6975</v>
      </c>
      <c r="D26" s="30" t="n">
        <f aca="false">D25+B$16/4</f>
        <v>-0.1675</v>
      </c>
      <c r="E26" s="30" t="n">
        <f aca="false">E25+B$16/4</f>
        <v>0.9425</v>
      </c>
      <c r="F26" s="30" t="n">
        <f aca="false">F25+C$16/4</f>
        <v>1.581</v>
      </c>
      <c r="G26" s="30" t="n">
        <f aca="false">G25+C$16/4</f>
        <v>1.581</v>
      </c>
      <c r="H26" s="30" t="n">
        <f aca="false">H25+C$16/4</f>
        <v>1.581</v>
      </c>
      <c r="I26" s="30" t="n">
        <f aca="false">I25+C$16/4</f>
        <v>1.581</v>
      </c>
      <c r="J26" s="30" t="n">
        <f aca="false">J25+D$16/4</f>
        <v>1.5375</v>
      </c>
      <c r="K26" s="30" t="n">
        <f aca="false">K25+D$16/4</f>
        <v>1.5375</v>
      </c>
      <c r="L26" s="30" t="n">
        <f aca="false">L25+D$16/4</f>
        <v>1.5375</v>
      </c>
      <c r="M26" s="30" t="n">
        <f aca="false">M25+D$16/4</f>
        <v>1.5375</v>
      </c>
      <c r="N26" s="30" t="n">
        <f aca="false">N25+E$16/4</f>
        <v>1.42125</v>
      </c>
      <c r="O26" s="30" t="n">
        <f aca="false">O25+E$16/4</f>
        <v>1.42125</v>
      </c>
      <c r="P26" s="30" t="n">
        <f aca="false">P25+E$16/4</f>
        <v>1.42125</v>
      </c>
      <c r="Q26" s="30" t="n">
        <f aca="false">Q25+E$16/4</f>
        <v>1.42125</v>
      </c>
      <c r="R26" s="30" t="n">
        <f aca="false">R25+F$16/4</f>
        <v>1.49041666666667</v>
      </c>
      <c r="S26" s="30" t="n">
        <f aca="false">S25+F$16/4</f>
        <v>1.49041666666667</v>
      </c>
      <c r="T26" s="30" t="n">
        <f aca="false">T25+F$16/4</f>
        <v>1.49041666666667</v>
      </c>
      <c r="U26" s="30" t="n">
        <f aca="false">U25+F$16/4</f>
        <v>1.49041666666667</v>
      </c>
    </row>
    <row r="27" customFormat="false" ht="15" hidden="false" customHeight="false" outlineLevel="0" collapsed="false">
      <c r="A27" s="9" t="s">
        <v>327</v>
      </c>
      <c r="B27" s="37" t="n">
        <f aca="false">1/(1+Supuestos!$B$42)^B21</f>
        <v>0.981618537637692</v>
      </c>
      <c r="C27" s="37" t="n">
        <f aca="false">1/(1+Supuestos!$B$42)^C21</f>
        <v>0.945863036694151</v>
      </c>
      <c r="D27" s="37" t="n">
        <f aca="false">1/(1+Supuestos!$B$42)^D21</f>
        <v>0.911409931537471</v>
      </c>
      <c r="E27" s="37" t="n">
        <f aca="false">1/(1+Supuestos!$B$42)^E21</f>
        <v>0.878211782340468</v>
      </c>
      <c r="F27" s="37" t="n">
        <f aca="false">1/(1+Supuestos!$B$42)^F21</f>
        <v>0.846222877273872</v>
      </c>
      <c r="G27" s="37" t="n">
        <f aca="false">1/(1+Supuestos!$B$42)^G21</f>
        <v>0.815399169563924</v>
      </c>
      <c r="H27" s="37" t="n">
        <f aca="false">1/(1+Supuestos!$B$42)^H21</f>
        <v>0.785698216842648</v>
      </c>
      <c r="I27" s="37" t="n">
        <f aca="false">1/(1+Supuestos!$B$42)^I21</f>
        <v>0.7570791227073</v>
      </c>
      <c r="J27" s="37" t="n">
        <f aca="false">1/(1+Supuestos!$B$42)^J21</f>
        <v>0.729502480408511</v>
      </c>
      <c r="K27" s="37" t="n">
        <f aca="false">1/(1+Supuestos!$B$42)^K21</f>
        <v>0.702930318589589</v>
      </c>
      <c r="L27" s="37" t="n">
        <f aca="false">1/(1+Supuestos!$B$42)^L21</f>
        <v>0.677326049002283</v>
      </c>
      <c r="M27" s="37" t="n">
        <f aca="false">1/(1+Supuestos!$B$42)^M21</f>
        <v>0.652654416126983</v>
      </c>
      <c r="N27" s="37" t="n">
        <f aca="false">1/(1+Supuestos!$B$42)^N21</f>
        <v>0.628881448628027</v>
      </c>
      <c r="O27" s="37" t="n">
        <f aca="false">1/(1+Supuestos!$B$42)^O21</f>
        <v>0.605974412577232</v>
      </c>
      <c r="P27" s="37" t="n">
        <f aca="false">1/(1+Supuestos!$B$42)^P21</f>
        <v>0.583901766381278</v>
      </c>
      <c r="Q27" s="37" t="n">
        <f aca="false">1/(1+Supuestos!$B$42)^Q21</f>
        <v>0.562633117350848</v>
      </c>
      <c r="R27" s="37" t="n">
        <f aca="false">1/(1+Supuestos!$B$42)^R21</f>
        <v>0.542139179851747</v>
      </c>
      <c r="S27" s="37" t="n">
        <f aca="false">1/(1+Supuestos!$B$42)^S21</f>
        <v>0.522391734980373</v>
      </c>
      <c r="T27" s="37" t="n">
        <f aca="false">1/(1+Supuestos!$B$42)^T21</f>
        <v>0.503363591707999</v>
      </c>
      <c r="U27" s="37" t="n">
        <f aca="false">1/(1+Supuestos!$B$42)^U21</f>
        <v>0.485028549440386</v>
      </c>
    </row>
    <row r="28" customFormat="false" ht="15" hidden="false" customHeight="false" outlineLevel="0" collapsed="false">
      <c r="A28" s="9" t="s">
        <v>328</v>
      </c>
      <c r="B28" s="37" t="n">
        <f aca="false">1/(1+0.2)^B21</f>
        <v>0.977467540230553</v>
      </c>
      <c r="C28" s="37" t="n">
        <f aca="false">1/(1+0.2)^C21</f>
        <v>0.933914315927013</v>
      </c>
      <c r="D28" s="37" t="n">
        <f aca="false">1/(1+0.2)^D21</f>
        <v>0.892301701688937</v>
      </c>
      <c r="E28" s="37" t="n">
        <f aca="false">1/(1+0.2)^E21</f>
        <v>0.852543229350386</v>
      </c>
      <c r="F28" s="37" t="n">
        <f aca="false">1/(1+0.2)^F21</f>
        <v>0.814556283525461</v>
      </c>
      <c r="G28" s="37" t="n">
        <f aca="false">1/(1+0.2)^G21</f>
        <v>0.778261929939178</v>
      </c>
      <c r="H28" s="37" t="n">
        <f aca="false">1/(1+0.2)^H21</f>
        <v>0.743584751407447</v>
      </c>
      <c r="I28" s="37" t="n">
        <f aca="false">1/(1+0.2)^I21</f>
        <v>0.710452691125322</v>
      </c>
      <c r="J28" s="37" t="n">
        <f aca="false">1/(1+0.2)^J21</f>
        <v>0.678796902937884</v>
      </c>
      <c r="K28" s="37" t="n">
        <f aca="false">1/(1+0.2)^K21</f>
        <v>0.648551608282648</v>
      </c>
      <c r="L28" s="37" t="n">
        <f aca="false">1/(1+0.2)^L21</f>
        <v>0.619653959506206</v>
      </c>
      <c r="M28" s="37" t="n">
        <f aca="false">1/(1+0.2)^M21</f>
        <v>0.592043909271101</v>
      </c>
      <c r="N28" s="37" t="n">
        <f aca="false">1/(1+0.2)^N21</f>
        <v>0.56566408578157</v>
      </c>
      <c r="O28" s="37" t="n">
        <f aca="false">1/(1+0.2)^O21</f>
        <v>0.540459673568874</v>
      </c>
      <c r="P28" s="37" t="n">
        <f aca="false">1/(1+0.2)^P21</f>
        <v>0.516378299588505</v>
      </c>
      <c r="Q28" s="37" t="n">
        <f aca="false">1/(1+0.2)^Q21</f>
        <v>0.493369924392584</v>
      </c>
      <c r="R28" s="37" t="n">
        <f aca="false">1/(1+0.2)^R21</f>
        <v>0.471386738151308</v>
      </c>
      <c r="S28" s="37" t="n">
        <f aca="false">1/(1+0.2)^S21</f>
        <v>0.450383061307395</v>
      </c>
      <c r="T28" s="37" t="n">
        <f aca="false">1/(1+0.2)^T21</f>
        <v>0.430315249657088</v>
      </c>
      <c r="U28" s="37" t="n">
        <f aca="false">1/(1+0.2)^U21</f>
        <v>0.411141603660487</v>
      </c>
    </row>
    <row r="29" customFormat="false" ht="15" hidden="false" customHeight="false" outlineLevel="0" collapsed="false">
      <c r="A29" s="9" t="s">
        <v>329</v>
      </c>
      <c r="B29" s="23" t="n">
        <f aca="false">B22*Supuestos!$B$54+(B23+B24)*Supuestos!$B$55</f>
        <v>-1.69</v>
      </c>
      <c r="C29" s="23" t="n">
        <f aca="false">C22*Supuestos!$B$54+(C23+C24)*Supuestos!$B$55</f>
        <v>-2.268</v>
      </c>
      <c r="D29" s="23" t="n">
        <f aca="false">D22*Supuestos!$B$54+(D23+D24)*Supuestos!$B$55</f>
        <v>-1.062</v>
      </c>
      <c r="E29" s="23" t="n">
        <f aca="false">E22*Supuestos!$B$54+(E23+E24)*Supuestos!$B$55</f>
        <v>-0.22</v>
      </c>
      <c r="F29" s="23" t="n">
        <f aca="false">F22*Supuestos!$B$54+(F23+F24)*Supuestos!$B$55</f>
        <v>0.8675</v>
      </c>
      <c r="G29" s="23" t="n">
        <f aca="false">G22*Supuestos!$B$54+(G23+G24)*Supuestos!$B$55</f>
        <v>0.8675</v>
      </c>
      <c r="H29" s="23" t="n">
        <f aca="false">H22*Supuestos!$B$54+(H23+H24)*Supuestos!$B$55</f>
        <v>0.8675</v>
      </c>
      <c r="I29" s="23" t="n">
        <f aca="false">I22*Supuestos!$B$54+(I23+I24)*Supuestos!$B$55</f>
        <v>0.8675</v>
      </c>
      <c r="J29" s="23" t="n">
        <f aca="false">J22*Supuestos!$B$54+(J23+J24)*Supuestos!$B$55</f>
        <v>0.7845</v>
      </c>
      <c r="K29" s="23" t="n">
        <f aca="false">K22*Supuestos!$B$54+(K23+K24)*Supuestos!$B$55</f>
        <v>0.7845</v>
      </c>
      <c r="L29" s="23" t="n">
        <f aca="false">L22*Supuestos!$B$54+(L23+L24)*Supuestos!$B$55</f>
        <v>0.7845</v>
      </c>
      <c r="M29" s="23" t="n">
        <f aca="false">M22*Supuestos!$B$54+(M23+M24)*Supuestos!$B$55</f>
        <v>0.7845</v>
      </c>
      <c r="N29" s="23" t="n">
        <f aca="false">N22*Supuestos!$B$54+(N23+N24)*Supuestos!$B$55</f>
        <v>0.80775</v>
      </c>
      <c r="O29" s="23" t="n">
        <f aca="false">O22*Supuestos!$B$54+(O23+O24)*Supuestos!$B$55</f>
        <v>0.80775</v>
      </c>
      <c r="P29" s="23" t="n">
        <f aca="false">P22*Supuestos!$B$54+(P23+P24)*Supuestos!$B$55</f>
        <v>0.80775</v>
      </c>
      <c r="Q29" s="23" t="n">
        <f aca="false">Q22*Supuestos!$B$54+(Q23+Q24)*Supuestos!$B$55</f>
        <v>0.80775</v>
      </c>
      <c r="R29" s="23" t="n">
        <f aca="false">R22*Supuestos!$B$54+(R23+R24)*Supuestos!$B$55</f>
        <v>0.861</v>
      </c>
      <c r="S29" s="23" t="n">
        <f aca="false">S22*Supuestos!$B$54+(S23+S24)*Supuestos!$B$55</f>
        <v>0.861</v>
      </c>
      <c r="T29" s="23" t="n">
        <f aca="false">T22*Supuestos!$B$54+(T23+T24)*Supuestos!$B$55</f>
        <v>0.861</v>
      </c>
      <c r="U29" s="23" t="n">
        <f aca="false">U22*Supuestos!$B$54+(U23+U24)*Supuestos!$B$55</f>
        <v>0.861</v>
      </c>
    </row>
    <row r="30" customFormat="false" ht="15" hidden="false" customHeight="false" outlineLevel="0" collapsed="false">
      <c r="A30" s="9" t="s">
        <v>330</v>
      </c>
      <c r="B30" s="23" t="n">
        <f aca="false">B22*Supuestos!$B$58+(B23+B24)*Supuestos!$B$59</f>
        <v>-1.32</v>
      </c>
      <c r="C30" s="23" t="n">
        <f aca="false">C22*Supuestos!$B$58+(C23+C24)*Supuestos!$B$59</f>
        <v>-1.36</v>
      </c>
      <c r="D30" s="23" t="n">
        <f aca="false">D22*Supuestos!$B$58+(D23+D24)*Supuestos!$B$59</f>
        <v>0.44</v>
      </c>
      <c r="E30" s="23" t="n">
        <f aca="false">E22*Supuestos!$B$58+(E23+E24)*Supuestos!$B$59</f>
        <v>1.76</v>
      </c>
      <c r="F30" s="23" t="n">
        <f aca="false">F22*Supuestos!$B$58+(F23+F24)*Supuestos!$B$59</f>
        <v>2.9445</v>
      </c>
      <c r="G30" s="23" t="n">
        <f aca="false">G22*Supuestos!$B$58+(G23+G24)*Supuestos!$B$59</f>
        <v>2.9445</v>
      </c>
      <c r="H30" s="23" t="n">
        <f aca="false">H22*Supuestos!$B$58+(H23+H24)*Supuestos!$B$59</f>
        <v>2.9445</v>
      </c>
      <c r="I30" s="23" t="n">
        <f aca="false">I22*Supuestos!$B$58+(I23+I24)*Supuestos!$B$59</f>
        <v>2.9445</v>
      </c>
      <c r="J30" s="23" t="n">
        <f aca="false">J22*Supuestos!$B$58+(J23+J24)*Supuestos!$B$59</f>
        <v>2.9195</v>
      </c>
      <c r="K30" s="23" t="n">
        <f aca="false">K22*Supuestos!$B$58+(K23+K24)*Supuestos!$B$59</f>
        <v>2.9195</v>
      </c>
      <c r="L30" s="23" t="n">
        <f aca="false">L22*Supuestos!$B$58+(L23+L24)*Supuestos!$B$59</f>
        <v>2.9195</v>
      </c>
      <c r="M30" s="23" t="n">
        <f aca="false">M22*Supuestos!$B$58+(M23+M24)*Supuestos!$B$59</f>
        <v>2.9195</v>
      </c>
      <c r="N30" s="23" t="n">
        <f aca="false">N22*Supuestos!$B$58+(N23+N24)*Supuestos!$B$59</f>
        <v>2.98525</v>
      </c>
      <c r="O30" s="23" t="n">
        <f aca="false">O22*Supuestos!$B$58+(O23+O24)*Supuestos!$B$59</f>
        <v>2.98525</v>
      </c>
      <c r="P30" s="23" t="n">
        <f aca="false">P22*Supuestos!$B$58+(P23+P24)*Supuestos!$B$59</f>
        <v>2.98525</v>
      </c>
      <c r="Q30" s="23" t="n">
        <f aca="false">Q22*Supuestos!$B$58+(Q23+Q24)*Supuestos!$B$59</f>
        <v>2.98525</v>
      </c>
      <c r="R30" s="23" t="n">
        <f aca="false">R22*Supuestos!$B$58+(R23+R24)*Supuestos!$B$59</f>
        <v>3.076</v>
      </c>
      <c r="S30" s="23" t="n">
        <f aca="false">S22*Supuestos!$B$58+(S23+S24)*Supuestos!$B$59</f>
        <v>3.076</v>
      </c>
      <c r="T30" s="23" t="n">
        <f aca="false">T22*Supuestos!$B$58+(T23+T24)*Supuestos!$B$59</f>
        <v>3.076</v>
      </c>
      <c r="U30" s="23" t="n">
        <f aca="false">U22*Supuestos!$B$58+(U23+U24)*Supuestos!$B$59</f>
        <v>3.076</v>
      </c>
    </row>
    <row r="31" customFormat="false" ht="15" hidden="false" customHeight="false" outlineLevel="0" collapsed="false">
      <c r="A31" s="9" t="s">
        <v>331</v>
      </c>
      <c r="B31" s="23" t="n">
        <f aca="false">B29</f>
        <v>-1.69</v>
      </c>
      <c r="C31" s="23" t="n">
        <f aca="false">B31+C29</f>
        <v>-3.958</v>
      </c>
      <c r="D31" s="23" t="n">
        <f aca="false">C31+D29</f>
        <v>-5.02</v>
      </c>
      <c r="E31" s="23" t="n">
        <f aca="false">D31+E29</f>
        <v>-5.24</v>
      </c>
      <c r="F31" s="23" t="n">
        <f aca="false">E31+F29</f>
        <v>-4.3725</v>
      </c>
      <c r="G31" s="23" t="n">
        <f aca="false">F31+G29</f>
        <v>-3.505</v>
      </c>
      <c r="H31" s="23" t="n">
        <f aca="false">G31+H29</f>
        <v>-2.6375</v>
      </c>
      <c r="I31" s="23" t="n">
        <f aca="false">H31+I29</f>
        <v>-1.77</v>
      </c>
      <c r="J31" s="23" t="n">
        <f aca="false">I31+J29</f>
        <v>-0.985499999999999</v>
      </c>
      <c r="K31" s="23" t="n">
        <f aca="false">J31+K29</f>
        <v>-0.200999999999999</v>
      </c>
      <c r="L31" s="23" t="n">
        <f aca="false">K31+L29</f>
        <v>0.583500000000001</v>
      </c>
      <c r="M31" s="23" t="n">
        <f aca="false">L31+M29</f>
        <v>1.368</v>
      </c>
      <c r="N31" s="23" t="n">
        <f aca="false">M31+N29</f>
        <v>2.17575</v>
      </c>
      <c r="O31" s="23" t="n">
        <f aca="false">N31+O29</f>
        <v>2.9835</v>
      </c>
      <c r="P31" s="23" t="n">
        <f aca="false">O31+P29</f>
        <v>3.79125</v>
      </c>
      <c r="Q31" s="23" t="n">
        <f aca="false">P31+Q29</f>
        <v>4.599</v>
      </c>
      <c r="R31" s="23" t="n">
        <f aca="false">Q31+R29</f>
        <v>5.46</v>
      </c>
      <c r="S31" s="23" t="n">
        <f aca="false">R31+S29</f>
        <v>6.321</v>
      </c>
      <c r="T31" s="23" t="n">
        <f aca="false">S31+T29</f>
        <v>7.182</v>
      </c>
      <c r="U31" s="23" t="n">
        <f aca="false">T31+U29</f>
        <v>8.043</v>
      </c>
    </row>
    <row r="32" customFormat="false" ht="15" hidden="false" customHeight="false" outlineLevel="0" collapsed="false">
      <c r="A32" s="9" t="s">
        <v>332</v>
      </c>
      <c r="B32" s="23" t="n">
        <f aca="false">B25</f>
        <v>-1.35</v>
      </c>
      <c r="C32" s="23" t="n">
        <f aca="false">B32+C25</f>
        <v>-2.89</v>
      </c>
      <c r="D32" s="23" t="n">
        <f aca="false">C32+D25</f>
        <v>-2.9</v>
      </c>
      <c r="E32" s="23" t="n">
        <f aca="false">D32+E25</f>
        <v>-1.8</v>
      </c>
      <c r="F32" s="23" t="n">
        <f aca="false">E32+F25</f>
        <v>0.390000000000001</v>
      </c>
      <c r="G32" s="23" t="n">
        <f aca="false">F32+G25</f>
        <v>2.58</v>
      </c>
      <c r="H32" s="23" t="n">
        <f aca="false">G32+H25</f>
        <v>4.77</v>
      </c>
      <c r="I32" s="23" t="n">
        <f aca="false">H32+I25</f>
        <v>6.96</v>
      </c>
      <c r="J32" s="23" t="n">
        <f aca="false">I32+J25</f>
        <v>9.11</v>
      </c>
      <c r="K32" s="23" t="n">
        <f aca="false">J32+K25</f>
        <v>11.26</v>
      </c>
      <c r="L32" s="23" t="n">
        <f aca="false">K32+L25</f>
        <v>13.41</v>
      </c>
      <c r="M32" s="23" t="n">
        <f aca="false">L32+M25</f>
        <v>15.56</v>
      </c>
      <c r="N32" s="23" t="n">
        <f aca="false">M32+N25</f>
        <v>17.76</v>
      </c>
      <c r="O32" s="23" t="n">
        <f aca="false">N32+O25</f>
        <v>19.96</v>
      </c>
      <c r="P32" s="23" t="n">
        <f aca="false">O32+P25</f>
        <v>22.16</v>
      </c>
      <c r="Q32" s="23" t="n">
        <f aca="false">P32+Q25</f>
        <v>24.36</v>
      </c>
      <c r="R32" s="23" t="n">
        <f aca="false">Q32+R25</f>
        <v>26.635</v>
      </c>
      <c r="S32" s="23" t="n">
        <f aca="false">R32+S25</f>
        <v>28.91</v>
      </c>
      <c r="T32" s="23" t="n">
        <f aca="false">S32+T25</f>
        <v>31.185</v>
      </c>
      <c r="U32" s="23" t="n">
        <f aca="false">T32+U25</f>
        <v>33.46</v>
      </c>
    </row>
    <row r="33" customFormat="false" ht="15" hidden="false" customHeight="false" outlineLevel="0" collapsed="false">
      <c r="A33" s="9" t="s">
        <v>333</v>
      </c>
      <c r="B33" s="23" t="n">
        <f aca="false">B30</f>
        <v>-1.32</v>
      </c>
      <c r="C33" s="23" t="n">
        <f aca="false">B33+C30</f>
        <v>-2.68</v>
      </c>
      <c r="D33" s="23" t="n">
        <f aca="false">C33+D30</f>
        <v>-2.24</v>
      </c>
      <c r="E33" s="23" t="n">
        <f aca="false">D33+E30</f>
        <v>-0.479999999999999</v>
      </c>
      <c r="F33" s="23" t="n">
        <f aca="false">E33+F30</f>
        <v>2.4645</v>
      </c>
      <c r="G33" s="23" t="n">
        <f aca="false">F33+G30</f>
        <v>5.409</v>
      </c>
      <c r="H33" s="23" t="n">
        <f aca="false">G33+H30</f>
        <v>8.3535</v>
      </c>
      <c r="I33" s="23" t="n">
        <f aca="false">H33+I30</f>
        <v>11.298</v>
      </c>
      <c r="J33" s="23" t="n">
        <f aca="false">I33+J30</f>
        <v>14.2175</v>
      </c>
      <c r="K33" s="23" t="n">
        <f aca="false">J33+K30</f>
        <v>17.137</v>
      </c>
      <c r="L33" s="23" t="n">
        <f aca="false">K33+L30</f>
        <v>20.0565</v>
      </c>
      <c r="M33" s="23" t="n">
        <f aca="false">L33+M30</f>
        <v>22.976</v>
      </c>
      <c r="N33" s="23" t="n">
        <f aca="false">M33+N30</f>
        <v>25.96125</v>
      </c>
      <c r="O33" s="23" t="n">
        <f aca="false">N33+O30</f>
        <v>28.9465</v>
      </c>
      <c r="P33" s="23" t="n">
        <f aca="false">O33+P30</f>
        <v>31.93175</v>
      </c>
      <c r="Q33" s="23" t="n">
        <f aca="false">P33+Q30</f>
        <v>34.917</v>
      </c>
      <c r="R33" s="23" t="n">
        <f aca="false">Q33+R30</f>
        <v>37.993</v>
      </c>
      <c r="S33" s="23" t="n">
        <f aca="false">R33+S30</f>
        <v>41.069</v>
      </c>
      <c r="T33" s="23" t="n">
        <f aca="false">S33+T30</f>
        <v>44.145</v>
      </c>
      <c r="U33" s="23" t="n">
        <f aca="false">T33+U30</f>
        <v>47.221</v>
      </c>
    </row>
    <row r="35" customFormat="false" ht="15" hidden="false" customHeight="false" outlineLevel="0" collapsed="false">
      <c r="A35" s="7" t="s">
        <v>334</v>
      </c>
      <c r="B35" s="8"/>
      <c r="C35" s="8"/>
      <c r="D35" s="8"/>
      <c r="E35" s="8"/>
      <c r="F35" s="8"/>
      <c r="G35" s="8"/>
    </row>
    <row r="36" customFormat="false" ht="23.85" hidden="false" customHeight="false" outlineLevel="0" collapsed="false">
      <c r="A36" s="5" t="s">
        <v>147</v>
      </c>
      <c r="B36" s="6" t="s">
        <v>335</v>
      </c>
      <c r="C36" s="6" t="s">
        <v>336</v>
      </c>
    </row>
    <row r="37" customFormat="false" ht="15" hidden="false" customHeight="false" outlineLevel="0" collapsed="false">
      <c r="A37" s="3" t="s">
        <v>337</v>
      </c>
      <c r="B37" s="26" t="n">
        <f aca="false">SUMPRODUCT($B$25:$U$25,$B$27:$U$27)</f>
        <v>21.0413875242202</v>
      </c>
      <c r="C37" s="26" t="n">
        <f aca="false">SUMPRODUCT($B$26:$U$26,$B$27:$U$27)</f>
        <v>13.3472891487809</v>
      </c>
    </row>
    <row r="38" customFormat="false" ht="15" hidden="false" customHeight="false" outlineLevel="0" collapsed="false">
      <c r="A38" s="3" t="s">
        <v>338</v>
      </c>
      <c r="B38" s="36" t="n">
        <f aca="false">(1+IRR($B$25:$U$25))^4-1</f>
        <v>2.75613583838542</v>
      </c>
      <c r="C38" s="36" t="n">
        <f aca="false">(1+IRR($B$26:$U$26))^4-1</f>
        <v>1.74982721515774</v>
      </c>
    </row>
    <row r="39" customFormat="false" ht="15" hidden="false" customHeight="false" outlineLevel="0" collapsed="false">
      <c r="A39" s="3" t="s">
        <v>339</v>
      </c>
      <c r="B39" s="3" t="str">
        <f aca="false">INDEX($B$20:$U$20,MATCH(TRUE(),INDEX($B$32:$U$32&gt;=0,0),0))</f>
        <v>Q1 2028</v>
      </c>
    </row>
    <row r="40" customFormat="false" ht="15" hidden="false" customHeight="false" outlineLevel="0" collapsed="false">
      <c r="A40" s="3" t="s">
        <v>340</v>
      </c>
      <c r="B40" s="26" t="n">
        <f aca="false">SUM($B$25:$I$25)</f>
        <v>6.96</v>
      </c>
    </row>
    <row r="41" customFormat="false" ht="15" hidden="false" customHeight="false" outlineLevel="0" collapsed="false">
      <c r="A41" s="3" t="s">
        <v>341</v>
      </c>
      <c r="B41" s="26" t="n">
        <f aca="false">Beneficios!$D$13</f>
        <v>8.764</v>
      </c>
    </row>
    <row r="42" customFormat="false" ht="15" hidden="false" customHeight="false" outlineLevel="0" collapsed="false">
      <c r="A42" s="3" t="s">
        <v>342</v>
      </c>
      <c r="B42" s="26" t="n">
        <f aca="false">Beneficios!$D$13</f>
        <v>8.764</v>
      </c>
    </row>
    <row r="43" customFormat="false" ht="15" hidden="false" customHeight="false" outlineLevel="0" collapsed="false">
      <c r="A43" s="2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34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344</v>
      </c>
    </row>
    <row r="2" customFormat="false" ht="15" hidden="false" customHeight="false" outlineLevel="0" collapsed="false">
      <c r="A2" s="2" t="s">
        <v>345</v>
      </c>
    </row>
    <row r="4" customFormat="false" ht="15" hidden="false" customHeight="false" outlineLevel="0" collapsed="false">
      <c r="A4" s="5" t="s">
        <v>147</v>
      </c>
      <c r="B4" s="6" t="s">
        <v>346</v>
      </c>
      <c r="C4" s="6" t="s">
        <v>347</v>
      </c>
      <c r="D4" s="6" t="s">
        <v>348</v>
      </c>
      <c r="E4" s="6" t="s">
        <v>349</v>
      </c>
    </row>
    <row r="5" customFormat="false" ht="15" hidden="false" customHeight="false" outlineLevel="0" collapsed="false">
      <c r="A5" s="9" t="s">
        <v>350</v>
      </c>
      <c r="B5" s="21" t="n">
        <f aca="false">Supuestos!$B$53</f>
        <v>0.25</v>
      </c>
      <c r="C5" s="21" t="n">
        <f aca="false">Supuestos!$B$56</f>
        <v>0.5</v>
      </c>
      <c r="D5" s="21" t="n">
        <f aca="false">Supuestos!$B$57</f>
        <v>0.25</v>
      </c>
      <c r="E5" s="21" t="n">
        <f aca="false">SUM(B5:D5)</f>
        <v>1</v>
      </c>
    </row>
    <row r="6" customFormat="false" ht="15" hidden="false" customHeight="false" outlineLevel="0" collapsed="false">
      <c r="A6" s="9" t="s">
        <v>33</v>
      </c>
      <c r="B6" s="9" t="s">
        <v>351</v>
      </c>
      <c r="C6" s="9" t="s">
        <v>352</v>
      </c>
      <c r="D6" s="9" t="s">
        <v>353</v>
      </c>
    </row>
    <row r="7" customFormat="false" ht="15" hidden="false" customHeight="false" outlineLevel="0" collapsed="false">
      <c r="A7" s="3" t="s">
        <v>354</v>
      </c>
      <c r="B7" s="26" t="n">
        <f aca="false">ROUND(Beneficios!$D$11,2)*Supuestos!$B$54+Beneficios!$D$12*Supuestos!$B$55</f>
        <v>3.47</v>
      </c>
      <c r="C7" s="26" t="n">
        <f aca="false">Beneficios!$D$13</f>
        <v>8.764</v>
      </c>
      <c r="D7" s="26" t="n">
        <f aca="false">ROUND(Beneficios!$D$11,2)*Supuestos!$B$58+Beneficios!$D$12*Supuestos!$B$59</f>
        <v>11.778</v>
      </c>
      <c r="E7" s="26" t="n">
        <f aca="false">SUMPRODUCT($B$5:$D$5,B7:D7)</f>
        <v>8.194</v>
      </c>
    </row>
    <row r="8" customFormat="false" ht="15" hidden="false" customHeight="false" outlineLevel="0" collapsed="false">
      <c r="A8" s="9" t="s">
        <v>355</v>
      </c>
      <c r="B8" s="24" t="n">
        <f aca="false">SUM('Proyección 5 años'!$B$29:$I$29)</f>
        <v>-1.77</v>
      </c>
      <c r="C8" s="24" t="n">
        <f aca="false">SUM('Proyección 5 años'!$B$25:$I$25)</f>
        <v>6.96</v>
      </c>
      <c r="D8" s="24" t="n">
        <f aca="false">SUM('Proyección 5 años'!$B$30:$I$30)</f>
        <v>11.298</v>
      </c>
      <c r="E8" s="24" t="n">
        <f aca="false">SUMPRODUCT($B$5:$D$5,B8:D8)</f>
        <v>5.862</v>
      </c>
    </row>
    <row r="9" customFormat="false" ht="15" hidden="false" customHeight="false" outlineLevel="0" collapsed="false">
      <c r="A9" s="3" t="s">
        <v>356</v>
      </c>
      <c r="B9" s="26" t="n">
        <f aca="false">SUMPRODUCT('Proyección 5 años'!$B$29:$U$29,'Proyección 5 años'!$B$27:$U$27)</f>
        <v>3.67278816358394</v>
      </c>
      <c r="C9" s="26" t="n">
        <f aca="false">SUMPRODUCT('Proyección 5 años'!$B$25:$U$25,'Proyección 5 años'!$B$27:$U$27)</f>
        <v>21.0413875242202</v>
      </c>
      <c r="D9" s="26" t="n">
        <f aca="false">SUMPRODUCT('Proyección 5 años'!$B$30:$U$30,'Proyección 5 años'!$B$27:$U$27)</f>
        <v>30.2886204665688</v>
      </c>
      <c r="E9" s="26" t="n">
        <f aca="false">SUMPRODUCT($B$5:$D$5,B9:D9)</f>
        <v>19.0110459196483</v>
      </c>
    </row>
    <row r="10" customFormat="false" ht="15" hidden="false" customHeight="false" outlineLevel="0" collapsed="false">
      <c r="A10" s="9" t="s">
        <v>338</v>
      </c>
      <c r="B10" s="21" t="n">
        <f aca="false">(1+IRR('Proyección 5 años'!$B$29:$U$29))^4-1</f>
        <v>0.478002452175444</v>
      </c>
      <c r="C10" s="21" t="n">
        <f aca="false">(1+IRR('Proyección 5 años'!$B$25:$U$25))^4-1</f>
        <v>2.75613583838542</v>
      </c>
      <c r="D10" s="21" t="n">
        <f aca="false">(1+IRR('Proyección 5 años'!$B$30:$U$30))^4-1</f>
        <v>4.52143732124218</v>
      </c>
    </row>
    <row r="11" customFormat="false" ht="15" hidden="false" customHeight="false" outlineLevel="0" collapsed="false">
      <c r="A11" s="9" t="s">
        <v>357</v>
      </c>
      <c r="B11" s="4" t="str">
        <f aca="false">INDEX('Proyección 5 años'!$B$20:$U$20,MATCH(TRUE(),INDEX('Proyección 5 años'!$B$31:$U$31&gt;=0,0),0))</f>
        <v>Q3 2029</v>
      </c>
      <c r="C11" s="4" t="str">
        <f aca="false">INDEX('Proyección 5 años'!$B$20:$U$20,MATCH(TRUE(),INDEX('Proyección 5 años'!$B$32:$U$32&gt;=0,0),0))</f>
        <v>Q1 2028</v>
      </c>
      <c r="D11" s="4" t="str">
        <f aca="false">INDEX('Proyección 5 años'!$B$20:$U$20,MATCH(TRUE(),INDEX('Proyección 5 años'!$B$33:$U$33&gt;=0,0),0))</f>
        <v>Q1 2028</v>
      </c>
    </row>
    <row r="12" customFormat="false" ht="35.05" hidden="false" customHeight="false" outlineLevel="0" collapsed="false">
      <c r="A12" s="9" t="s">
        <v>358</v>
      </c>
      <c r="B12" s="4" t="s">
        <v>359</v>
      </c>
      <c r="C12" s="4" t="s">
        <v>360</v>
      </c>
      <c r="D12" s="4" t="s">
        <v>361</v>
      </c>
    </row>
    <row r="13" customFormat="false" ht="35.05" hidden="false" customHeight="false" outlineLevel="0" collapsed="false">
      <c r="A13" s="9" t="s">
        <v>362</v>
      </c>
      <c r="B13" s="4" t="s">
        <v>363</v>
      </c>
      <c r="C13" s="4" t="s">
        <v>364</v>
      </c>
      <c r="D13" s="4" t="s">
        <v>365</v>
      </c>
    </row>
    <row r="14" customFormat="false" ht="15" hidden="false" customHeight="false" outlineLevel="0" collapsed="false">
      <c r="A14" s="9" t="s">
        <v>366</v>
      </c>
      <c r="B14" s="4" t="s">
        <v>367</v>
      </c>
      <c r="C14" s="4" t="s">
        <v>368</v>
      </c>
      <c r="D14" s="4" t="s">
        <v>369</v>
      </c>
    </row>
    <row r="16" customFormat="false" ht="15" hidden="false" customHeight="false" outlineLevel="0" collapsed="false">
      <c r="A16" s="7" t="s">
        <v>370</v>
      </c>
      <c r="B16" s="8"/>
      <c r="C16" s="8"/>
      <c r="D16" s="8"/>
      <c r="E16" s="8"/>
    </row>
    <row r="17" customFormat="false" ht="15" hidden="false" customHeight="false" outlineLevel="0" collapsed="false">
      <c r="A17" s="9" t="s">
        <v>371</v>
      </c>
      <c r="B17" s="24" t="n">
        <f aca="false">E7</f>
        <v>8.194</v>
      </c>
    </row>
    <row r="18" customFormat="false" ht="15" hidden="false" customHeight="false" outlineLevel="0" collapsed="false">
      <c r="A18" s="3" t="s">
        <v>372</v>
      </c>
      <c r="B18" s="26" t="n">
        <f aca="false">B17/12</f>
        <v>0.682833333333333</v>
      </c>
    </row>
    <row r="19" customFormat="false" ht="15" hidden="false" customHeight="false" outlineLevel="0" collapsed="false">
      <c r="A19" s="9" t="s">
        <v>373</v>
      </c>
      <c r="B19" s="24" t="n">
        <f aca="false">ROUND(B18,1)*3</f>
        <v>2.1</v>
      </c>
    </row>
    <row r="20" customFormat="false" ht="15" hidden="false" customHeight="false" outlineLevel="0" collapsed="false">
      <c r="A20" s="9" t="s">
        <v>374</v>
      </c>
      <c r="B20" s="38" t="n">
        <f aca="false">'Línea base'!$B$20</f>
        <v>2.1342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375</v>
      </c>
    </row>
    <row r="2" customFormat="false" ht="15" hidden="false" customHeight="false" outlineLevel="0" collapsed="false">
      <c r="A2" s="2" t="s">
        <v>376</v>
      </c>
    </row>
    <row r="4" customFormat="false" ht="23.85" hidden="false" customHeight="false" outlineLevel="0" collapsed="false">
      <c r="A4" s="5" t="s">
        <v>377</v>
      </c>
      <c r="B4" s="6" t="s">
        <v>378</v>
      </c>
      <c r="C4" s="6" t="s">
        <v>354</v>
      </c>
      <c r="D4" s="6" t="s">
        <v>379</v>
      </c>
      <c r="E4" s="6" t="s">
        <v>380</v>
      </c>
    </row>
    <row r="5" customFormat="false" ht="15" hidden="false" customHeight="false" outlineLevel="0" collapsed="false">
      <c r="A5" s="9" t="s">
        <v>381</v>
      </c>
      <c r="B5" s="23" t="n">
        <f aca="false">0</f>
        <v>0</v>
      </c>
      <c r="C5" s="24" t="n">
        <f aca="false">ROUND(Beneficios!$D$11,2)+B5+Beneficios!$D$12</f>
        <v>8.76</v>
      </c>
      <c r="D5" s="24" t="n">
        <f aca="false">((ROUND(Beneficios!$D$11,2)+B5)/ROUND(Beneficios!$D$11,2))*SUM('Proyección 5 años'!$B$22:$I$22)+SUM('Proyección 5 años'!$B$23:$I$23)+SUM('Proyección 5 años'!$B$24:$I$24)</f>
        <v>6.96</v>
      </c>
      <c r="E5" s="26" t="n">
        <f aca="false">((ROUND(Beneficios!$D$11,2)+B5)/ROUND(Beneficios!$D$11,2))*SUMPRODUCT('Proyección 5 años'!$B$22:$U$22,'Proyección 5 años'!$B$27:$U$27)+SUMPRODUCT('Proyección 5 años'!$B$23:$U$23,'Proyección 5 años'!$B$27:$U$27)+SUMPRODUCT('Proyección 5 años'!$B$24:$U$24,'Proyección 5 años'!$B$27:$U$27)</f>
        <v>21.0413875242202</v>
      </c>
    </row>
    <row r="6" customFormat="false" ht="15" hidden="false" customHeight="false" outlineLevel="0" collapsed="false">
      <c r="A6" s="9" t="s">
        <v>382</v>
      </c>
      <c r="B6" s="23" t="n">
        <f aca="false">Beneficios!$D$4*0.5</f>
        <v>1.77</v>
      </c>
      <c r="C6" s="24" t="n">
        <f aca="false">ROUND(Beneficios!$D$11,2)+B6+Beneficios!$D$12</f>
        <v>10.53</v>
      </c>
      <c r="D6" s="24" t="n">
        <f aca="false">((ROUND(Beneficios!$D$11,2)+B6)/ROUND(Beneficios!$D$11,2))*SUM('Proyección 5 años'!$B$22:$I$22)+SUM('Proyección 5 años'!$B$23:$I$23)+SUM('Proyección 5 años'!$B$24:$I$24)</f>
        <v>9.50415506958251</v>
      </c>
      <c r="E6" s="26" t="n">
        <f aca="false">((ROUND(Beneficios!$D$11,2)+B6)/ROUND(Beneficios!$D$11,2))*SUMPRODUCT('Proyección 5 años'!$B$22:$U$22,'Proyección 5 años'!$B$27:$U$27)+SUMPRODUCT('Proyección 5 años'!$B$23:$U$23,'Proyección 5 años'!$B$27:$U$27)+SUMPRODUCT('Proyección 5 años'!$B$24:$U$24,'Proyección 5 años'!$B$27:$U$27)</f>
        <v>26.4647149953789</v>
      </c>
    </row>
    <row r="7" customFormat="false" ht="15" hidden="false" customHeight="false" outlineLevel="0" collapsed="false">
      <c r="A7" s="9" t="s">
        <v>383</v>
      </c>
      <c r="B7" s="23" t="n">
        <f aca="false">-Beneficios!$D$4*0.5</f>
        <v>-1.77</v>
      </c>
      <c r="C7" s="24" t="n">
        <f aca="false">ROUND(Beneficios!$D$11,2)+B7+Beneficios!$D$12</f>
        <v>6.99</v>
      </c>
      <c r="D7" s="24" t="n">
        <f aca="false">((ROUND(Beneficios!$D$11,2)+B7)/ROUND(Beneficios!$D$11,2))*SUM('Proyección 5 años'!$B$22:$I$22)+SUM('Proyección 5 años'!$B$23:$I$23)+SUM('Proyección 5 años'!$B$24:$I$24)</f>
        <v>4.4158449304175</v>
      </c>
      <c r="E7" s="26" t="n">
        <f aca="false">((ROUND(Beneficios!$D$11,2)+B7)/ROUND(Beneficios!$D$11,2))*SUMPRODUCT('Proyección 5 años'!$B$22:$U$22,'Proyección 5 años'!$B$27:$U$27)+SUMPRODUCT('Proyección 5 años'!$B$23:$U$23,'Proyección 5 años'!$B$27:$U$27)+SUMPRODUCT('Proyección 5 años'!$B$24:$U$24,'Proyección 5 años'!$B$27:$U$27)</f>
        <v>15.6180600530614</v>
      </c>
    </row>
    <row r="8" customFormat="false" ht="15" hidden="false" customHeight="false" outlineLevel="0" collapsed="false">
      <c r="A8" s="9" t="s">
        <v>384</v>
      </c>
      <c r="B8" s="23" t="n">
        <f aca="false">-Beneficios!$D$6*(0.82-0.78)/(Supuestos!$B$32-Supuestos!$B$31)</f>
        <v>-2.10285714285714</v>
      </c>
      <c r="C8" s="24" t="n">
        <f aca="false">ROUND(Beneficios!$D$11,2)+B8+Beneficios!$D$12</f>
        <v>6.65714285714286</v>
      </c>
      <c r="D8" s="24" t="n">
        <f aca="false">((ROUND(Beneficios!$D$11,2)+B8)/ROUND(Beneficios!$D$11,2))*SUM('Proyección 5 años'!$B$22:$I$22)+SUM('Proyección 5 años'!$B$23:$I$23)+SUM('Proyección 5 años'!$B$24:$I$24)</f>
        <v>3.93740414654928</v>
      </c>
      <c r="E8" s="26" t="n">
        <f aca="false">((ROUND(Beneficios!$D$11,2)+B8)/ROUND(Beneficios!$D$11,2))*SUMPRODUCT('Proyección 5 años'!$B$22:$U$22,'Proyección 5 años'!$B$27:$U$27)+SUMPRODUCT('Proyección 5 años'!$B$23:$U$23,'Proyección 5 años'!$B$27:$U$27)+SUMPRODUCT('Proyección 5 años'!$B$24:$U$24,'Proyección 5 años'!$B$27:$U$27)</f>
        <v>14.5981768401639</v>
      </c>
    </row>
    <row r="9" customFormat="false" ht="15" hidden="false" customHeight="false" outlineLevel="0" collapsed="false">
      <c r="A9" s="9" t="s">
        <v>385</v>
      </c>
      <c r="B9" s="23" t="n">
        <f aca="false">-Beneficios!$D$5*(0.06-Supuestos!$B$30)/(Supuestos!$B$29-Supuestos!$B$30)</f>
        <v>-0.570666666666666</v>
      </c>
      <c r="C9" s="24" t="n">
        <f aca="false">ROUND(Beneficios!$D$11,2)+B9+Beneficios!$D$12</f>
        <v>8.18933333333333</v>
      </c>
      <c r="D9" s="24" t="n">
        <f aca="false">((ROUND(Beneficios!$D$11,2)+B9)/ROUND(Beneficios!$D$11,2))*SUM('Proyección 5 años'!$B$22:$I$22)+SUM('Proyección 5 años'!$B$23:$I$23)+SUM('Proyección 5 años'!$B$24:$I$24)</f>
        <v>6.13973757455269</v>
      </c>
      <c r="E9" s="26" t="n">
        <f aca="false">((ROUND(Beneficios!$D$11,2)+B9)/ROUND(Beneficios!$D$11,2))*SUMPRODUCT('Proyección 5 años'!$B$22:$U$22,'Proyección 5 años'!$B$27:$U$27)+SUMPRODUCT('Proyección 5 años'!$B$23:$U$23,'Proyección 5 años'!$B$27:$U$27)+SUMPRODUCT('Proyección 5 años'!$B$24:$U$24,'Proyección 5 años'!$B$27:$U$27)</f>
        <v>19.2928495523513</v>
      </c>
    </row>
    <row r="10" customFormat="false" ht="15" hidden="false" customHeight="false" outlineLevel="0" collapsed="false">
      <c r="A10" s="9" t="s">
        <v>386</v>
      </c>
      <c r="B10" s="23" t="n">
        <f aca="false">-(Supuestos!$B$14-28)*Beneficios!$C$11/10^6</f>
        <v>-1.25</v>
      </c>
      <c r="C10" s="24" t="n">
        <f aca="false">ROUND(Beneficios!$D$11,2)+B10+Beneficios!$D$12</f>
        <v>7.51</v>
      </c>
      <c r="D10" s="24" t="n">
        <f aca="false">((ROUND(Beneficios!$D$11,2)+B10)/ROUND(Beneficios!$D$11,2))*SUM('Proyección 5 años'!$B$22:$I$22)+SUM('Proyección 5 años'!$B$23:$I$23)+SUM('Proyección 5 años'!$B$24:$I$24)</f>
        <v>5.16328031809145</v>
      </c>
      <c r="E10" s="26" t="n">
        <f aca="false">((ROUND(Beneficios!$D$11,2)+B10)/ROUND(Beneficios!$D$11,2))*SUMPRODUCT('Proyección 5 años'!$B$22:$U$22,'Proyección 5 años'!$B$27:$U$27)+SUMPRODUCT('Proyección 5 años'!$B$23:$U$23,'Proyección 5 años'!$B$27:$U$27)+SUMPRODUCT('Proyección 5 años'!$B$24:$U$24,'Proyección 5 años'!$B$27:$U$27)</f>
        <v>17.2113539993905</v>
      </c>
    </row>
    <row r="11" customFormat="false" ht="15" hidden="false" customHeight="false" outlineLevel="0" collapsed="false">
      <c r="A11" s="9" t="s">
        <v>387</v>
      </c>
      <c r="B11" s="23" t="n">
        <f aca="false">0</f>
        <v>0</v>
      </c>
      <c r="C11" s="24" t="n">
        <f aca="false">Beneficios!$D$13</f>
        <v>8.764</v>
      </c>
      <c r="D11" s="24" t="n">
        <f aca="false">'Proyección 5 años'!$B$40</f>
        <v>6.96</v>
      </c>
      <c r="E11" s="26" t="n">
        <f aca="false">SUMPRODUCT('Proyección 5 años'!$B$25:$U$25,'Proyección 5 años'!$B$28:$U$28)</f>
        <v>18.9688879114548</v>
      </c>
    </row>
    <row r="12" customFormat="false" ht="15" hidden="false" customHeight="false" outlineLevel="0" collapsed="false">
      <c r="A12" s="9" t="s">
        <v>388</v>
      </c>
      <c r="B12" s="23" t="n">
        <f aca="false">0</f>
        <v>0</v>
      </c>
      <c r="C12" s="24" t="n">
        <f aca="false">Beneficios!$D$13</f>
        <v>8.764</v>
      </c>
      <c r="D12" s="24" t="n">
        <f aca="false">SUM('Proyección 5 años'!$B$22:$I$22)+SUM('Proyección 5 años'!$B$23:$I$23)+1.3*SUM('Proyección 5 años'!$B$24:$I$24)</f>
        <v>5.34</v>
      </c>
      <c r="E12" s="26" t="n">
        <f aca="false">SUMPRODUCT('Proyección 5 años'!$B$22:$U$22,'Proyección 5 años'!$B$27:$U$27)+SUMPRODUCT('Proyección 5 años'!$B$23:$U$23,'Proyección 5 años'!$B$27:$U$27)+1.3*SUMPRODUCT('Proyección 5 años'!$B$24:$U$24,'Proyección 5 años'!$B$27:$U$27)</f>
        <v>19.3934514740363</v>
      </c>
    </row>
    <row r="14" customFormat="false" ht="15" hidden="false" customHeight="false" outlineLevel="0" collapsed="false">
      <c r="A14" s="2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390</v>
      </c>
    </row>
    <row r="3" customFormat="false" ht="15" hidden="false" customHeight="false" outlineLevel="0" collapsed="false">
      <c r="A3" s="5" t="s">
        <v>147</v>
      </c>
      <c r="B3" s="6" t="s">
        <v>11</v>
      </c>
      <c r="C3" s="6" t="s">
        <v>391</v>
      </c>
      <c r="D3" s="6" t="s">
        <v>392</v>
      </c>
    </row>
    <row r="4" customFormat="false" ht="15" hidden="false" customHeight="false" outlineLevel="0" collapsed="false">
      <c r="A4" s="3" t="s">
        <v>174</v>
      </c>
      <c r="B4" s="39" t="n">
        <f aca="false">'Línea base'!$B$26</f>
        <v>47.2793629727936</v>
      </c>
      <c r="C4" s="39" t="n">
        <f aca="false">Beneficios!$D$18</f>
        <v>40.3118779031188</v>
      </c>
      <c r="D4" s="2" t="s">
        <v>393</v>
      </c>
    </row>
    <row r="5" customFormat="false" ht="15" hidden="false" customHeight="false" outlineLevel="0" collapsed="false">
      <c r="A5" s="9" t="s">
        <v>159</v>
      </c>
      <c r="B5" s="38" t="n">
        <f aca="false">'Línea base'!$B$11</f>
        <v>147.976111479761</v>
      </c>
      <c r="C5" s="38" t="n">
        <f aca="false">'Flujo y ROI'!J10</f>
        <v>122.055408095554</v>
      </c>
      <c r="D5" s="2" t="s">
        <v>394</v>
      </c>
    </row>
    <row r="6" customFormat="false" ht="15" hidden="false" customHeight="false" outlineLevel="0" collapsed="false">
      <c r="A6" s="9" t="s">
        <v>395</v>
      </c>
      <c r="B6" s="18" t="n">
        <v>0</v>
      </c>
      <c r="C6" s="40" t="n">
        <f aca="false">Supuestos!$B$28</f>
        <v>0.1</v>
      </c>
      <c r="D6" s="2" t="s">
        <v>396</v>
      </c>
    </row>
    <row r="7" customFormat="false" ht="15" hidden="false" customHeight="false" outlineLevel="0" collapsed="false">
      <c r="A7" s="9" t="s">
        <v>397</v>
      </c>
      <c r="B7" s="40" t="n">
        <f aca="false">Supuestos!$B$31</f>
        <v>0.75</v>
      </c>
      <c r="C7" s="40" t="n">
        <f aca="false">Supuestos!$B$32</f>
        <v>0.82</v>
      </c>
      <c r="D7" s="2" t="s">
        <v>398</v>
      </c>
    </row>
    <row r="8" customFormat="false" ht="15" hidden="false" customHeight="false" outlineLevel="0" collapsed="false">
      <c r="A8" s="9" t="s">
        <v>166</v>
      </c>
      <c r="B8" s="40" t="n">
        <f aca="false">Supuestos!$B$29</f>
        <v>0.08</v>
      </c>
      <c r="C8" s="40" t="n">
        <f aca="false">Supuestos!$B$30</f>
        <v>0.05</v>
      </c>
      <c r="D8" s="2" t="s">
        <v>394</v>
      </c>
    </row>
    <row r="9" customFormat="false" ht="15" hidden="false" customHeight="false" outlineLevel="0" collapsed="false">
      <c r="A9" s="9" t="s">
        <v>399</v>
      </c>
      <c r="B9" s="25" t="n">
        <f aca="false">'Línea base'!$B$10</f>
        <v>34.24</v>
      </c>
      <c r="C9" s="25" t="n">
        <f aca="false">'Flujo y ROI'!J14*4</f>
        <v>24.24</v>
      </c>
      <c r="D9" s="2" t="s">
        <v>400</v>
      </c>
    </row>
    <row r="10" customFormat="false" ht="15" hidden="false" customHeight="false" outlineLevel="0" collapsed="false">
      <c r="A10" s="9" t="s">
        <v>264</v>
      </c>
      <c r="B10" s="22" t="n">
        <f aca="false">Supuestos!$B$8</f>
        <v>600</v>
      </c>
      <c r="C10" s="22" t="n">
        <f aca="false">'Flujo y ROI'!J8</f>
        <v>424.929971988796</v>
      </c>
      <c r="D10" s="2" t="s">
        <v>401</v>
      </c>
    </row>
    <row r="11" customFormat="false" ht="15" hidden="false" customHeight="false" outlineLevel="0" collapsed="false">
      <c r="A11" s="9" t="s">
        <v>402</v>
      </c>
      <c r="B11" s="22" t="n">
        <f aca="false">Supuestos!$B$7</f>
        <v>400</v>
      </c>
      <c r="C11" s="22" t="n">
        <f aca="false">Supuestos!$B$7</f>
        <v>400</v>
      </c>
      <c r="D11" s="2" t="s">
        <v>403</v>
      </c>
    </row>
    <row r="12" customFormat="false" ht="15" hidden="false" customHeight="false" outlineLevel="0" collapsed="false">
      <c r="A12" s="9" t="s">
        <v>178</v>
      </c>
      <c r="B12" s="41" t="n">
        <f aca="false">'Línea base'!$B$29</f>
        <v>18.9635416666667</v>
      </c>
      <c r="C12" s="41" t="n">
        <f aca="false">Beneficios!$D$20</f>
        <v>19.42</v>
      </c>
      <c r="D12" s="2" t="s">
        <v>179</v>
      </c>
    </row>
    <row r="13" customFormat="false" ht="15" hidden="false" customHeight="false" outlineLevel="0" collapsed="false">
      <c r="A13" s="9" t="s">
        <v>404</v>
      </c>
      <c r="B13" s="10" t="n">
        <v>60</v>
      </c>
      <c r="C13" s="10" t="n">
        <v>35</v>
      </c>
      <c r="D13" s="2" t="s">
        <v>405</v>
      </c>
    </row>
    <row r="15" customFormat="false" ht="15" hidden="false" customHeight="false" outlineLevel="0" collapsed="false">
      <c r="A15" s="7" t="s">
        <v>406</v>
      </c>
      <c r="B15" s="8"/>
      <c r="C15" s="8"/>
      <c r="D15" s="8"/>
    </row>
    <row r="16" customFormat="false" ht="15" hidden="false" customHeight="false" outlineLevel="0" collapsed="false">
      <c r="A16" s="9" t="s">
        <v>407</v>
      </c>
    </row>
    <row r="17" customFormat="false" ht="15" hidden="false" customHeight="false" outlineLevel="0" collapsed="false">
      <c r="A17" s="9" t="s">
        <v>408</v>
      </c>
    </row>
    <row r="18" customFormat="false" ht="15" hidden="false" customHeight="false" outlineLevel="0" collapsed="false">
      <c r="A18" s="9" t="s">
        <v>409</v>
      </c>
    </row>
    <row r="19" customFormat="false" ht="15" hidden="false" customHeight="false" outlineLevel="0" collapsed="false">
      <c r="A19" s="9" t="s">
        <v>410</v>
      </c>
    </row>
    <row r="20" customFormat="false" ht="15" hidden="false" customHeight="false" outlineLevel="0" collapsed="false">
      <c r="A20" s="9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2026-10-24T21:04:25Z</dcterms:created>
  <dc:creator>openpyxl</dc:creator>
  <dc:description/>
  <dc:language>en-US</dc:language>
  <cp:lastModifiedBy/>
  <dcterms:modified xsi:type="dcterms:W3CDTF">2026-10-24T21:04:25Z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